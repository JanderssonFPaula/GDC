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21054552\Desktop\Gerdador de PDF\"/>
    </mc:Choice>
  </mc:AlternateContent>
  <xr:revisionPtr revIDLastSave="0" documentId="13_ncr:1_{D411F90F-18C4-4D1C-9737-4BF58311F96B}" xr6:coauthVersionLast="47" xr6:coauthVersionMax="47" xr10:uidLastSave="{00000000-0000-0000-0000-000000000000}"/>
  <bookViews>
    <workbookView xWindow="31335" yWindow="960" windowWidth="18660" windowHeight="15030" tabRatio="579" xr2:uid="{E2B3EE3D-3AEB-4691-9E46-DAF7262BCD97}"/>
  </bookViews>
  <sheets>
    <sheet name="MENU" sheetId="11" r:id="rId1"/>
    <sheet name="GERADOR" sheetId="18" r:id="rId2"/>
    <sheet name="HISTORICO" sheetId="19" r:id="rId3"/>
    <sheet name="USUARIOS" sheetId="15" state="hidden" r:id="rId4"/>
    <sheet name="BD" sheetId="12" state="hidden" r:id="rId5"/>
    <sheet name="BD_MODELOS" sheetId="8" state="hidden" r:id="rId6"/>
  </sheets>
  <definedNames>
    <definedName name="_xleta.N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8" l="1"/>
  <c r="A2" i="18"/>
  <c r="CP2" i="18" s="1"/>
  <c r="S2" i="18"/>
  <c r="BD2" i="18"/>
  <c r="BE2" i="18"/>
  <c r="BF2" i="18"/>
  <c r="BG2" i="18"/>
  <c r="BJ2" i="18"/>
  <c r="BB2" i="18" s="1"/>
  <c r="BC2" i="18" s="1"/>
  <c r="BL2" i="18"/>
  <c r="BM2" i="18"/>
  <c r="BN2" i="18"/>
  <c r="BO2" i="18"/>
  <c r="BP2" i="18"/>
  <c r="BQ2" i="18"/>
  <c r="CU2" i="18"/>
  <c r="A6" i="8"/>
  <c r="A5" i="8"/>
  <c r="A4" i="8"/>
  <c r="A3" i="8"/>
  <c r="A5" i="12"/>
  <c r="A2" i="12"/>
  <c r="A3" i="12"/>
  <c r="A4" i="12"/>
  <c r="CI2" i="18" l="1"/>
  <c r="CQ2" i="18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" i="12"/>
  <c r="A2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tc={E817E985-3F06-4E30-8484-093B94B30056}</author>
    <author>EQUATORIAL</author>
  </authors>
  <commentList>
    <comment ref="O1" authorId="0" shapeId="0" xr:uid="{E817E985-3F06-4E30-8484-093B94B30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TENSAO NOMINAL E CONTRATADA KV</t>
      </text>
    </comment>
    <comment ref="Y1" authorId="1" shapeId="0" xr:uid="{677B21A8-A592-46AF-9C61-F8F948D9D009}">
      <text>
        <r>
          <rPr>
            <b/>
            <sz val="9"/>
            <color indexed="81"/>
            <rFont val="Segoe UI"/>
            <family val="2"/>
          </rPr>
          <t>EQUATORIAL:</t>
        </r>
        <r>
          <rPr>
            <sz val="9"/>
            <color indexed="81"/>
            <rFont val="Segoe UI"/>
            <family val="2"/>
          </rPr>
          <t xml:space="preserve">
Ponto de Conexão: Não alterar​
Capacidade de demanda: ​
 Cliente faturado como Grupo A: mesmo valor da demanda contratada​
 Cliente faturado como Optante Grupo B: Potência do Trafo x 0,92 ​
Para casos de Centrais Geradoras ou Distribuidoras, incluir coordenadas geográficas​</t>
        </r>
      </text>
    </comment>
  </commentList>
</comments>
</file>

<file path=xl/sharedStrings.xml><?xml version="1.0" encoding="utf-8"?>
<sst xmlns="http://schemas.openxmlformats.org/spreadsheetml/2006/main" count="2795" uniqueCount="844">
  <si>
    <t>GERADO</t>
  </si>
  <si>
    <t>TIPO_CONTRATO</t>
  </si>
  <si>
    <t>MODELO DE WORD</t>
  </si>
  <si>
    <t>ID</t>
  </si>
  <si>
    <t>CARTEIRA</t>
  </si>
  <si>
    <t>#CARTEIRA</t>
  </si>
  <si>
    <t>GA ANAPOLIS</t>
  </si>
  <si>
    <t>GA FORMOSA</t>
  </si>
  <si>
    <t>GA IPORA</t>
  </si>
  <si>
    <t>GA LUZIANIA</t>
  </si>
  <si>
    <t>PPM METRO</t>
  </si>
  <si>
    <t>METRO 2</t>
  </si>
  <si>
    <t>GOIANIA 2</t>
  </si>
  <si>
    <t>PPM GOIANIA</t>
  </si>
  <si>
    <t>METRO 1</t>
  </si>
  <si>
    <t>GOIANIA 3</t>
  </si>
  <si>
    <t>GOIANIA 1</t>
  </si>
  <si>
    <t>MASTER 2</t>
  </si>
  <si>
    <t>REDES 1</t>
  </si>
  <si>
    <t>REDES 2</t>
  </si>
  <si>
    <t>GD ESPECIAIS</t>
  </si>
  <si>
    <t>MASTER 1</t>
  </si>
  <si>
    <t>PPE</t>
  </si>
  <si>
    <t>PPF/ESTRATEGICAS</t>
  </si>
  <si>
    <t>PPM FORMOSA</t>
  </si>
  <si>
    <t>PPM LUZIANIA</t>
  </si>
  <si>
    <t>GA URUAÇU</t>
  </si>
  <si>
    <t>PPM ANAPOLIS</t>
  </si>
  <si>
    <t>PPM URUAÇU</t>
  </si>
  <si>
    <t>PPM IPORA</t>
  </si>
  <si>
    <t>PPM MONTES BELOS</t>
  </si>
  <si>
    <t>GA MONTES BELOS</t>
  </si>
  <si>
    <t>PPM RIO VERDE</t>
  </si>
  <si>
    <t>GA MORRINHOS 1</t>
  </si>
  <si>
    <t>GA MORRINHOS 2</t>
  </si>
  <si>
    <t>GA RIO VERDE</t>
  </si>
  <si>
    <t>PPM MORRINHOS</t>
  </si>
  <si>
    <t>PPM-MET</t>
  </si>
  <si>
    <t>MET-2</t>
  </si>
  <si>
    <t>GO2</t>
  </si>
  <si>
    <t>PPM-GO</t>
  </si>
  <si>
    <t>MET-1</t>
  </si>
  <si>
    <t>GO3</t>
  </si>
  <si>
    <t>GO1</t>
  </si>
  <si>
    <t>MAS-2</t>
  </si>
  <si>
    <t>RED-1</t>
  </si>
  <si>
    <t>RED-2</t>
  </si>
  <si>
    <t>GD-ESP</t>
  </si>
  <si>
    <t>MAS-1</t>
  </si>
  <si>
    <t>PPF-EST</t>
  </si>
  <si>
    <t>GA-FOR</t>
  </si>
  <si>
    <t>GA-LUZ</t>
  </si>
  <si>
    <t>PPM-FOR</t>
  </si>
  <si>
    <t>PPM-LUZ</t>
  </si>
  <si>
    <t>GA-ANA</t>
  </si>
  <si>
    <t>GA-URU</t>
  </si>
  <si>
    <t>PPM-ANA</t>
  </si>
  <si>
    <t>PPM-URU</t>
  </si>
  <si>
    <t>GA-IPO</t>
  </si>
  <si>
    <t>PPM-IPO</t>
  </si>
  <si>
    <t>PPM-MB</t>
  </si>
  <si>
    <t>GA-MB</t>
  </si>
  <si>
    <t>PPM-RV</t>
  </si>
  <si>
    <t>GA-MOR1</t>
  </si>
  <si>
    <t>GA-MOR2</t>
  </si>
  <si>
    <t>GA-RV</t>
  </si>
  <si>
    <t>PPM-MOR</t>
  </si>
  <si>
    <t>N/A</t>
  </si>
  <si>
    <t>SIGLA</t>
  </si>
  <si>
    <t>-</t>
  </si>
  <si>
    <t>#NOME_CLIENTE</t>
  </si>
  <si>
    <t>#CPF_CNPJ</t>
  </si>
  <si>
    <t>TIPO DE ACESSANTE</t>
  </si>
  <si>
    <t>CATIVO</t>
  </si>
  <si>
    <t>LIVRE</t>
  </si>
  <si>
    <t>GERAÇÃO COM FORNECIMENTO SCEE</t>
  </si>
  <si>
    <t>LOCALIDADE</t>
  </si>
  <si>
    <t>CIDADE</t>
  </si>
  <si>
    <t xml:space="preserve"> REGIONAL </t>
  </si>
  <si>
    <t>GOIANIA</t>
  </si>
  <si>
    <t>CENTRO</t>
  </si>
  <si>
    <t>SUPERINTENDENCIA</t>
  </si>
  <si>
    <t>APARECIDA DE GOIANIA</t>
  </si>
  <si>
    <t>METROPOLITANA</t>
  </si>
  <si>
    <t>#ENDERECO</t>
  </si>
  <si>
    <t>#TENSAO_NOMINAL_CONTRATADA_KV</t>
  </si>
  <si>
    <t>#MODALIDADE_DE_ACESSO</t>
  </si>
  <si>
    <t>#TIPO_DE_ACESSANTE</t>
  </si>
  <si>
    <t>CLASSE DE CONSUMO</t>
  </si>
  <si>
    <t>RESIDENCIAL</t>
  </si>
  <si>
    <t>COMERCIAL</t>
  </si>
  <si>
    <t>INDUSTRIAL</t>
  </si>
  <si>
    <t>PODER PUBLICO</t>
  </si>
  <si>
    <t>RURAL</t>
  </si>
  <si>
    <t>SERVIÇO PÚBLICO</t>
  </si>
  <si>
    <t>#CLASSE_DE_CONSUMO</t>
  </si>
  <si>
    <t>Modalidade Tarifária</t>
  </si>
  <si>
    <t>THS_VERDE</t>
  </si>
  <si>
    <t>THS_AZUL</t>
  </si>
  <si>
    <t>OPTANTE_B</t>
  </si>
  <si>
    <t>#CEP</t>
  </si>
  <si>
    <t>#ATIVIDADE</t>
  </si>
  <si>
    <t>#DATA_DE_ENERGIZACAO</t>
  </si>
  <si>
    <t>#POTENCIA_INSTALADA_KVA</t>
  </si>
  <si>
    <t>#MODALIDADE_TARIFARIA</t>
  </si>
  <si>
    <t>#UNICA_KW</t>
  </si>
  <si>
    <t>#FORA_PONTA</t>
  </si>
  <si>
    <t>#POTENCIA_INSTALADA_KW</t>
  </si>
  <si>
    <t>#CARGA_PROPRIA_KW</t>
  </si>
  <si>
    <t>#CUSTO_TOTAL_DA_OBRA</t>
  </si>
  <si>
    <t>#CUSTO_DA_OBRA_PARA_ATENDIMENTO_DO_CONSUMIDOR</t>
  </si>
  <si>
    <t>#DETALHAMENTO_DA_OBRA_A_SER_REALIZADA</t>
  </si>
  <si>
    <t>#SUBGRUPO_TARIFARIO</t>
  </si>
  <si>
    <t>#OBRAS_60</t>
  </si>
  <si>
    <t>#OBRAS_120</t>
  </si>
  <si>
    <t>#OBRAS_365</t>
  </si>
  <si>
    <t>#OBRA_CRONOGRAMA_DA_DISTRIBUIDORA</t>
  </si>
  <si>
    <t>#NUMERO_CONTRATO_EXECUCAO_A</t>
  </si>
  <si>
    <t>#DATA_CELEBRACAO_A</t>
  </si>
  <si>
    <t>#NUMERO_CONTRATO_EXECUCAO_C</t>
  </si>
  <si>
    <t>#DATA_CELEBRACAO_C</t>
  </si>
  <si>
    <t>#ACESSANTE_1</t>
  </si>
  <si>
    <t>#ACESSANTE_2</t>
  </si>
  <si>
    <t>#TESTEMUNHA_1</t>
  </si>
  <si>
    <t>#TESTEMUNHA_2</t>
  </si>
  <si>
    <t>#TESTEMUNHA_3</t>
  </si>
  <si>
    <t>#CARGO_A_1</t>
  </si>
  <si>
    <t>#CPF_A_1</t>
  </si>
  <si>
    <t>#CARGO_A_2</t>
  </si>
  <si>
    <t>#CPF_A_2</t>
  </si>
  <si>
    <t>#CARGO_T_3</t>
  </si>
  <si>
    <t>#CPF_T_3</t>
  </si>
  <si>
    <t>#CARGO_T_1</t>
  </si>
  <si>
    <t>#CPF_T_1</t>
  </si>
  <si>
    <t>#CARGO_T_2</t>
  </si>
  <si>
    <t>#CPF_T_2</t>
  </si>
  <si>
    <t>Tensao nominal</t>
  </si>
  <si>
    <t>A</t>
  </si>
  <si>
    <t>B</t>
  </si>
  <si>
    <t>A4</t>
  </si>
  <si>
    <t>A3-A</t>
  </si>
  <si>
    <t>A3</t>
  </si>
  <si>
    <t>A2</t>
  </si>
  <si>
    <t>Subgrupo tarifario</t>
  </si>
  <si>
    <t>Formas de execução</t>
  </si>
  <si>
    <t>C</t>
  </si>
  <si>
    <t>SILVOLANDIA</t>
  </si>
  <si>
    <t>SAO LUIS DE MONTES BELOS</t>
  </si>
  <si>
    <t>SUDOESTE</t>
  </si>
  <si>
    <t>NOVO PLANALTO II</t>
  </si>
  <si>
    <t>FIRMINOPOLIS</t>
  </si>
  <si>
    <t>MIRANDOPOLIS</t>
  </si>
  <si>
    <t>MOSSAMEDES</t>
  </si>
  <si>
    <t>CAPELINHA II</t>
  </si>
  <si>
    <t>ANICUNS</t>
  </si>
  <si>
    <t>PALMEUNA</t>
  </si>
  <si>
    <t>JANDAIA</t>
  </si>
  <si>
    <t>LUCILANDIA</t>
  </si>
  <si>
    <t>MONTES CLAROS DE GOIAS</t>
  </si>
  <si>
    <t>CLAUDINAPOLIS</t>
  </si>
  <si>
    <t>NAZARIO</t>
  </si>
  <si>
    <t>PLANURA VERDE</t>
  </si>
  <si>
    <t>SANCLERLANDIA</t>
  </si>
  <si>
    <t>TURVANIA</t>
  </si>
  <si>
    <t>CACHOEIRA DE GOIAS</t>
  </si>
  <si>
    <t>JUSSARA</t>
  </si>
  <si>
    <t>PALMINOPOLIS</t>
  </si>
  <si>
    <t>AMERICANO DO BRASIL</t>
  </si>
  <si>
    <t>ITAPIRAPUA</t>
  </si>
  <si>
    <t>NOVO BRASIL</t>
  </si>
  <si>
    <t>APARECIDA - POV</t>
  </si>
  <si>
    <t>CEZARINA</t>
  </si>
  <si>
    <t>CAMPO DAS PERDIZES</t>
  </si>
  <si>
    <t>BURITI DE GOIAS</t>
  </si>
  <si>
    <t>LAGES - POV</t>
  </si>
  <si>
    <t>ITAPURANGA</t>
  </si>
  <si>
    <t>ARAGUAPAZ</t>
  </si>
  <si>
    <t>SAO BENEDITO  I</t>
  </si>
  <si>
    <t>ITABERAI</t>
  </si>
  <si>
    <t>ARAGARCAS</t>
  </si>
  <si>
    <t>ROSALANDIA</t>
  </si>
  <si>
    <t>SERRANOPOLIS</t>
  </si>
  <si>
    <t>SANTA FE DE GOIAS</t>
  </si>
  <si>
    <t>BRITANIA</t>
  </si>
  <si>
    <t>SAO JOSE DO RETIRO - POV</t>
  </si>
  <si>
    <t>LINDA VISTA</t>
  </si>
  <si>
    <t>BACILANDIA</t>
  </si>
  <si>
    <t>FAZENDA NOVA</t>
  </si>
  <si>
    <t>CHOUPANA</t>
  </si>
  <si>
    <t>ADELANDIA</t>
  </si>
  <si>
    <t>ARUANA</t>
  </si>
  <si>
    <t>FAINA</t>
  </si>
  <si>
    <t>APARECIDA DO RIO CLARO</t>
  </si>
  <si>
    <t>INDIARA</t>
  </si>
  <si>
    <t>SANTA RITA - POV</t>
  </si>
  <si>
    <t>DIOLANDIA</t>
  </si>
  <si>
    <t>FERNANDOPOLIS</t>
  </si>
  <si>
    <t>CALCILANDIA</t>
  </si>
  <si>
    <t>GOIAS</t>
  </si>
  <si>
    <t>SANTO ANTONIO II</t>
  </si>
  <si>
    <t>MORRO AGUDO DE GOIAS</t>
  </si>
  <si>
    <t>SAO JOSE</t>
  </si>
  <si>
    <t>BRASILANDIA I</t>
  </si>
  <si>
    <t>MORUMBI</t>
  </si>
  <si>
    <t>SAO PEDRO</t>
  </si>
  <si>
    <t>SANTO ANTONIO III</t>
  </si>
  <si>
    <t>COLONIA DE UVA</t>
  </si>
  <si>
    <t>CIBELE</t>
  </si>
  <si>
    <t>SANTA MARIA IV - POV</t>
  </si>
  <si>
    <t>PARAUNA</t>
  </si>
  <si>
    <t>LUA NOVA</t>
  </si>
  <si>
    <t>MATRINCHA</t>
  </si>
  <si>
    <t>BOA VISTA</t>
  </si>
  <si>
    <t>GONGOME - POV</t>
  </si>
  <si>
    <t>QUEIXADA - POV</t>
  </si>
  <si>
    <t>CORREGO DO OURO</t>
  </si>
  <si>
    <t>ESPIRITO SANTO - POV</t>
  </si>
  <si>
    <t>PADIOLANDIA - POV</t>
  </si>
  <si>
    <t>RIBEIRAO DO MEIO</t>
  </si>
  <si>
    <t>SAO JOAO I - POV</t>
  </si>
  <si>
    <t>PALMEIRAS DE GOIAS</t>
  </si>
  <si>
    <t>CAPIVARI - POV</t>
  </si>
  <si>
    <t>MORRO ALTO</t>
  </si>
  <si>
    <t>SAO JOSE DA LAGINHA</t>
  </si>
  <si>
    <t>LOBEIRA</t>
  </si>
  <si>
    <t>CAMPO ALEGRE</t>
  </si>
  <si>
    <t>CESAREIA</t>
  </si>
  <si>
    <t>SAO SEBASTIAO DO RIO CLARO</t>
  </si>
  <si>
    <t>PONTE ALTA</t>
  </si>
  <si>
    <t>CENTROLANDIA</t>
  </si>
  <si>
    <t>GAMELEIRA - POV</t>
  </si>
  <si>
    <t>ASSENTAMENTO PONTE DE PEDRA</t>
  </si>
  <si>
    <t>LOBEIRA II</t>
  </si>
  <si>
    <t>OLARIA DO ANGICO</t>
  </si>
  <si>
    <t>ITARUMA</t>
  </si>
  <si>
    <t>SUL</t>
  </si>
  <si>
    <t>LAGOA DO BAUZINHO</t>
  </si>
  <si>
    <t>RIO VERDE</t>
  </si>
  <si>
    <t>ARANTINA</t>
  </si>
  <si>
    <t>ACREUNA</t>
  </si>
  <si>
    <t>ITAGUACU</t>
  </si>
  <si>
    <t>SAO SIMAO</t>
  </si>
  <si>
    <t>MAURILANDIA</t>
  </si>
  <si>
    <t>CACHOEIRA ALTA</t>
  </si>
  <si>
    <t>CACU</t>
  </si>
  <si>
    <t>TURVELANDIA</t>
  </si>
  <si>
    <t>CASTELANDIA</t>
  </si>
  <si>
    <t>PARANAIGUARA</t>
  </si>
  <si>
    <t>LUZIANIA</t>
  </si>
  <si>
    <t>NORDESTE</t>
  </si>
  <si>
    <t>ANAPOLIS</t>
  </si>
  <si>
    <t>NORTE</t>
  </si>
  <si>
    <t>JARAGUA</t>
  </si>
  <si>
    <t>PIRENOPOLIS</t>
  </si>
  <si>
    <t>CORUMBA DE GOIAS</t>
  </si>
  <si>
    <t>INTERLANDIA</t>
  </si>
  <si>
    <t>PETROLINA DE GOIAS</t>
  </si>
  <si>
    <t>SOUZANIA</t>
  </si>
  <si>
    <t>ABADIANIA</t>
  </si>
  <si>
    <t>OURO VERDE DE GOIAS</t>
  </si>
  <si>
    <t>ITAGUARU</t>
  </si>
  <si>
    <t>TAQUARAL DE GOIAS</t>
  </si>
  <si>
    <t>HEITORAI</t>
  </si>
  <si>
    <t>MOZARLANDIA</t>
  </si>
  <si>
    <t>QUIRINOPOLIS</t>
  </si>
  <si>
    <t>SANTA HELENA DE GOIAS</t>
  </si>
  <si>
    <t>GOUVELANDIA</t>
  </si>
  <si>
    <t>LAGO AZUL - POV</t>
  </si>
  <si>
    <t>NOVO GAMA</t>
  </si>
  <si>
    <t>RIO VERDE - POV</t>
  </si>
  <si>
    <t>COCALZINHO DE GOIAS</t>
  </si>
  <si>
    <t>TRES VEREDAS</t>
  </si>
  <si>
    <t>DOMICIANO RIBEIRO</t>
  </si>
  <si>
    <t>IPAMERI</t>
  </si>
  <si>
    <t>MANIRATUBA</t>
  </si>
  <si>
    <t>SANTA BARBARA III</t>
  </si>
  <si>
    <t>SAO GERALDO</t>
  </si>
  <si>
    <t>SERRA DO OURO</t>
  </si>
  <si>
    <t>ALEXANIA</t>
  </si>
  <si>
    <t>TROMBAS II - POV</t>
  </si>
  <si>
    <t>POSSE</t>
  </si>
  <si>
    <t>SANTA RITA III - POV</t>
  </si>
  <si>
    <t>BURITINOPOLIS</t>
  </si>
  <si>
    <t>BURITI II - POV</t>
  </si>
  <si>
    <t>MAMBAI</t>
  </si>
  <si>
    <t>VAZANTE II - POV</t>
  </si>
  <si>
    <t>SIMOLANDIA</t>
  </si>
  <si>
    <t>POUSO ALTO</t>
  </si>
  <si>
    <t>CAMPOS BELOS</t>
  </si>
  <si>
    <t>SAO JOSE DE BAIXO - POV</t>
  </si>
  <si>
    <t>SANTO ANTONIO DA BARRA</t>
  </si>
  <si>
    <t>ITAJA</t>
  </si>
  <si>
    <t>PORTEIRAO</t>
  </si>
  <si>
    <t>INACIOLANDIA</t>
  </si>
  <si>
    <t>MONTIVIDIU</t>
  </si>
  <si>
    <t>APARECIDA DO RIO DOCE</t>
  </si>
  <si>
    <t>LAGOA SANTA</t>
  </si>
  <si>
    <t>MONTE ALTO</t>
  </si>
  <si>
    <t>PADRE BERNARDO</t>
  </si>
  <si>
    <t>CRISTALINA</t>
  </si>
  <si>
    <t>SAO BARTOLOMEU</t>
  </si>
  <si>
    <t>SANTO ANTONIO DO DESCOBERTO II</t>
  </si>
  <si>
    <t>SANTO ANTONIO DO DESCOBERTO</t>
  </si>
  <si>
    <t>PEDREGAL</t>
  </si>
  <si>
    <t>CIDADE OCIDENTAL</t>
  </si>
  <si>
    <t>MARIAPOLIS</t>
  </si>
  <si>
    <t>VALPARAISO DE GOIAS</t>
  </si>
  <si>
    <t>AGUAS LINDAS DE GOIAS</t>
  </si>
  <si>
    <t>ELDORADO MANSOES CAMPESTRE</t>
  </si>
  <si>
    <t>SANTA ISABEL</t>
  </si>
  <si>
    <t>SOUZALANDIA</t>
  </si>
  <si>
    <t>BARRO ALTO</t>
  </si>
  <si>
    <t>GIRASSOL</t>
  </si>
  <si>
    <t>SAO FRANCISCO DE GOIAS</t>
  </si>
  <si>
    <t>SANTA ROSA DE GOIAS</t>
  </si>
  <si>
    <t>GOIANESIA</t>
  </si>
  <si>
    <t>POSSE D ABADIA</t>
  </si>
  <si>
    <t>GOIANAPOLIS</t>
  </si>
  <si>
    <t>CAMPO LIMPO DE GOIAS</t>
  </si>
  <si>
    <t>CAFELANDIA</t>
  </si>
  <si>
    <t>NATINOPOLIS</t>
  </si>
  <si>
    <t>SANTA RITA DO NOVO DESTINO</t>
  </si>
  <si>
    <t>TEREZOPOLIS DE GOIAS</t>
  </si>
  <si>
    <t>JUSCELANDIA</t>
  </si>
  <si>
    <t>PLANALMIRA</t>
  </si>
  <si>
    <t>CORREGO RICO</t>
  </si>
  <si>
    <t>PLANALTINA</t>
  </si>
  <si>
    <t>VERMELHO</t>
  </si>
  <si>
    <t>CAVALCANTE</t>
  </si>
  <si>
    <t>PADRE LUCIO</t>
  </si>
  <si>
    <t>RADIOLANDIA</t>
  </si>
  <si>
    <t>JESUPOLIS</t>
  </si>
  <si>
    <t>CAPELINHA I</t>
  </si>
  <si>
    <t>GOIALANDIA</t>
  </si>
  <si>
    <t>VILA SAO VICENTE</t>
  </si>
  <si>
    <t>SANTO ANTONIO DA LAGUNA</t>
  </si>
  <si>
    <t>OLHO DAGUA - POV</t>
  </si>
  <si>
    <t>VILA PROPICIO</t>
  </si>
  <si>
    <t>CAMPO ALEGRE II</t>
  </si>
  <si>
    <t>LIMOEIRO</t>
  </si>
  <si>
    <t>MIRILANDIA</t>
  </si>
  <si>
    <t>VILA NOSSA SRA APARECIDA</t>
  </si>
  <si>
    <t>PALESTINA II</t>
  </si>
  <si>
    <t>VENIAPOLIS</t>
  </si>
  <si>
    <t>PLACA II</t>
  </si>
  <si>
    <t>SANTO ANTONIO</t>
  </si>
  <si>
    <t>CAPELA DO RIO DO PEIXE</t>
  </si>
  <si>
    <t>CAXAMBU</t>
  </si>
  <si>
    <t>GOIANOPOLIS - POV</t>
  </si>
  <si>
    <t>LAGOLANDIA</t>
  </si>
  <si>
    <t>RIBEIRAO DO INDIO - POV</t>
  </si>
  <si>
    <t>LAGOA PATO SELVAGEM</t>
  </si>
  <si>
    <t>TREVO DO ZE ROSARIO - POV</t>
  </si>
  <si>
    <t>LEOPOLDO DE BULHOES</t>
  </si>
  <si>
    <t>ALVORADA II</t>
  </si>
  <si>
    <t>EDILANDIA</t>
  </si>
  <si>
    <t>MAMONEIRA - POV</t>
  </si>
  <si>
    <t>VILA NOVA III - POV</t>
  </si>
  <si>
    <t>LAGES III</t>
  </si>
  <si>
    <t>RIO PRETO - POV</t>
  </si>
  <si>
    <t>CANA BRAVA I - POV</t>
  </si>
  <si>
    <t>FLORES DE GOIAS</t>
  </si>
  <si>
    <t>LEVANTADO - POV</t>
  </si>
  <si>
    <t>IACIARA</t>
  </si>
  <si>
    <t>FORMOSA</t>
  </si>
  <si>
    <t>CABECEIRAS</t>
  </si>
  <si>
    <t>SITIO D ABADIA</t>
  </si>
  <si>
    <t>ALVORADA DO NORTE</t>
  </si>
  <si>
    <t>DAMIANOPOLIS</t>
  </si>
  <si>
    <t>AGUAS DE SAO JOAO</t>
  </si>
  <si>
    <t>CRUZEIRO III</t>
  </si>
  <si>
    <t>ASSUNCAO DE GOIAS</t>
  </si>
  <si>
    <t>ALVELANDIA</t>
  </si>
  <si>
    <t>SANTA LUCIA</t>
  </si>
  <si>
    <t>MORADA DO SOL</t>
  </si>
  <si>
    <t>MOINHO</t>
  </si>
  <si>
    <t>ALTO PARAISO DE GOIAS</t>
  </si>
  <si>
    <t>SANTIAGO</t>
  </si>
  <si>
    <t>SAO JOAO DA ALIANCA</t>
  </si>
  <si>
    <t>LAGOA</t>
  </si>
  <si>
    <t>SANTA MARIA II</t>
  </si>
  <si>
    <t>GUARANI DE GOIAS</t>
  </si>
  <si>
    <t>MONTE ALEGRE DE GOIAS</t>
  </si>
  <si>
    <t>BARREIRAO</t>
  </si>
  <si>
    <t>DIVINOPOLIS DE GOIAS</t>
  </si>
  <si>
    <t>TERESINA DE GOIAS</t>
  </si>
  <si>
    <t>SAO JOAO D ALIANCA</t>
  </si>
  <si>
    <t>SAO GABRIEL DE GOIAS</t>
  </si>
  <si>
    <t>AGUA FRIA DE GOIAS</t>
  </si>
  <si>
    <t>MATO SECO</t>
  </si>
  <si>
    <t>VAZANTE - POV</t>
  </si>
  <si>
    <t>AGUA QUENTE</t>
  </si>
  <si>
    <t>ESCARAMUCA</t>
  </si>
  <si>
    <t>VARZEA</t>
  </si>
  <si>
    <t>VILA REIS - POV</t>
  </si>
  <si>
    <t>CABECEIRA DA MATA I - POV</t>
  </si>
  <si>
    <t>SAO VICENTE</t>
  </si>
  <si>
    <t>SAO DOMINGOS</t>
  </si>
  <si>
    <t>ESTIVA</t>
  </si>
  <si>
    <t>RODOVILANDIA</t>
  </si>
  <si>
    <t>MACHADO - POV</t>
  </si>
  <si>
    <t>POSSE - POV</t>
  </si>
  <si>
    <t>ORIZONA</t>
  </si>
  <si>
    <t>PLACA</t>
  </si>
  <si>
    <t>CRUZEIRINHO</t>
  </si>
  <si>
    <t>VILA NOVA I - POV</t>
  </si>
  <si>
    <t>PICADA - POV</t>
  </si>
  <si>
    <t>JAMBREIRO - POV</t>
  </si>
  <si>
    <t>BARU - POV</t>
  </si>
  <si>
    <t>BARBOSELANDIA</t>
  </si>
  <si>
    <t>BOA ESPERANCA - POV</t>
  </si>
  <si>
    <t>AGUA BOA</t>
  </si>
  <si>
    <t>CAPAO</t>
  </si>
  <si>
    <t>CANA BRAVA - POV</t>
  </si>
  <si>
    <t>NOVA ROMA</t>
  </si>
  <si>
    <t>POCO - POV</t>
  </si>
  <si>
    <t>VILA BURITI ALTO - POV</t>
  </si>
  <si>
    <t>MUNDO NOVO - POV</t>
  </si>
  <si>
    <t>IMPOEIRA - POV</t>
  </si>
  <si>
    <t>SALOBRO - POV</t>
  </si>
  <si>
    <t>SAO SEBASTIAO DE NOVA ROMA</t>
  </si>
  <si>
    <t>SAO JORGE</t>
  </si>
  <si>
    <t>PROJETO AGUAS CLARAS</t>
  </si>
  <si>
    <t>SANTA RITA II - POV</t>
  </si>
  <si>
    <t>TAQUARIZAL</t>
  </si>
  <si>
    <t>OUROMINAS</t>
  </si>
  <si>
    <t>BOA VISTA IV</t>
  </si>
  <si>
    <t>MUCAMBO FIRME - POV</t>
  </si>
  <si>
    <t>CORMARI - POV</t>
  </si>
  <si>
    <t>DISTRITO DO PRATA</t>
  </si>
  <si>
    <t>RIACHO DOS CAVALOS</t>
  </si>
  <si>
    <t>NOVA VISTA</t>
  </si>
  <si>
    <t>PORTEIRAS</t>
  </si>
  <si>
    <t>CAICARA - POV</t>
  </si>
  <si>
    <t>SAO JOAO EVANGELISTA - POV</t>
  </si>
  <si>
    <t>CARMO DO RIO VERDE</t>
  </si>
  <si>
    <t>URUANA</t>
  </si>
  <si>
    <t>NOVO GOIAS</t>
  </si>
  <si>
    <t>CARLANDIA</t>
  </si>
  <si>
    <t>ARARAS</t>
  </si>
  <si>
    <t>CEDRO III - POV</t>
  </si>
  <si>
    <t>MANGUEIRA</t>
  </si>
  <si>
    <t>VERA CRUZ</t>
  </si>
  <si>
    <t>BUENOLANDIA</t>
  </si>
  <si>
    <t>JEROAQUARA</t>
  </si>
  <si>
    <t>CAPELINHA DOS GOMES</t>
  </si>
  <si>
    <t>SERRA DOURADA</t>
  </si>
  <si>
    <t>BARREIRA BRANCA</t>
  </si>
  <si>
    <t>OLARIA DO ALECRIM - POV</t>
  </si>
  <si>
    <t>TRAJANOPOLIS</t>
  </si>
  <si>
    <t>MIMOSO DE GOIAS</t>
  </si>
  <si>
    <t>JARDIM DO INGA</t>
  </si>
  <si>
    <t>CEU AZUL</t>
  </si>
  <si>
    <t>CAMPO LINDO</t>
  </si>
  <si>
    <t>ARTULANDIA</t>
  </si>
  <si>
    <t>APARECIDA DE LOIOLA</t>
  </si>
  <si>
    <t>VERDELANDIA</t>
  </si>
  <si>
    <t>MORRO BRANCO</t>
  </si>
  <si>
    <t>GUARAITA</t>
  </si>
  <si>
    <t>BETANIA</t>
  </si>
  <si>
    <t>REGISTRO DO ARAGUAIA</t>
  </si>
  <si>
    <t>JACILANDIA</t>
  </si>
  <si>
    <t>CARMOLANDIA II</t>
  </si>
  <si>
    <t>PONCIONARIO</t>
  </si>
  <si>
    <t>CAICARA</t>
  </si>
  <si>
    <t>ITAGUARI</t>
  </si>
  <si>
    <t>AVELINOPOLIS</t>
  </si>
  <si>
    <t>SAO JOAO DA PARAUNA</t>
  </si>
  <si>
    <t>AURILANDIA</t>
  </si>
  <si>
    <t>JARANAPOLIS</t>
  </si>
  <si>
    <t>SANTA ROSA - POV</t>
  </si>
  <si>
    <t>VILA BOA</t>
  </si>
  <si>
    <t>BEZERRA</t>
  </si>
  <si>
    <t>JK</t>
  </si>
  <si>
    <t>CLARETIANA</t>
  </si>
  <si>
    <t>OUROANA</t>
  </si>
  <si>
    <t>RIVERLANDIA</t>
  </si>
  <si>
    <t>QUINO</t>
  </si>
  <si>
    <t>PLANALTO VERDE</t>
  </si>
  <si>
    <t>CAIAPONIA</t>
  </si>
  <si>
    <t>OLARIA DA FUMACA</t>
  </si>
  <si>
    <t>SANTA CRUZ DAS LAGES</t>
  </si>
  <si>
    <t>CHAPADAO DO CEU</t>
  </si>
  <si>
    <t>APORE</t>
  </si>
  <si>
    <t>ESTRELA D ALVA</t>
  </si>
  <si>
    <t>AMORINOPOLIS</t>
  </si>
  <si>
    <t>PALESTINA DE GOIAS</t>
  </si>
  <si>
    <t>JATAI</t>
  </si>
  <si>
    <t>IPORA</t>
  </si>
  <si>
    <t>ISRAELANDIA</t>
  </si>
  <si>
    <t>JAUPACI</t>
  </si>
  <si>
    <t>MINEIROS</t>
  </si>
  <si>
    <t>MESSIANOPOLIS</t>
  </si>
  <si>
    <t>MOIPORA</t>
  </si>
  <si>
    <t>PORTELANDIA</t>
  </si>
  <si>
    <t>DIORAMA</t>
  </si>
  <si>
    <t>GOIAPORA</t>
  </si>
  <si>
    <t>IVOLANDIA</t>
  </si>
  <si>
    <t>PILOANDIA</t>
  </si>
  <si>
    <t>BOM JARDIM DE GOIAS</t>
  </si>
  <si>
    <t>ARENOPOLIS</t>
  </si>
  <si>
    <t>PIRANHAS</t>
  </si>
  <si>
    <t>SANTA RITA DO ARAGUAIA</t>
  </si>
  <si>
    <t>PEROLANDIA</t>
  </si>
  <si>
    <t>NAVESLANDIA</t>
  </si>
  <si>
    <t>BALIZA</t>
  </si>
  <si>
    <t>ESTANCIA</t>
  </si>
  <si>
    <t>CAMPOS VERDES II</t>
  </si>
  <si>
    <t>DOVERLANDIA</t>
  </si>
  <si>
    <t>SAO SEBASTIAO DO RIO CLARO I</t>
  </si>
  <si>
    <t>ZELANDIA</t>
  </si>
  <si>
    <t>ALTO DA BOA VISTA</t>
  </si>
  <si>
    <t>PEDROLANDIA</t>
  </si>
  <si>
    <t>ITUMIRIM - POV</t>
  </si>
  <si>
    <t>DISTRITO DE UBATAN</t>
  </si>
  <si>
    <t>CANA BRAVA</t>
  </si>
  <si>
    <t>CUMARI</t>
  </si>
  <si>
    <t>ROCHELANDIA</t>
  </si>
  <si>
    <t>GOIATUBA</t>
  </si>
  <si>
    <t>DOIS IRMAOS II</t>
  </si>
  <si>
    <t>MAIRIPOTABA</t>
  </si>
  <si>
    <t>BURITIZINHO</t>
  </si>
  <si>
    <t>CORUMBAZUL</t>
  </si>
  <si>
    <t>BURITI ALEGRE</t>
  </si>
  <si>
    <t>ALMERINDONOPOLIS</t>
  </si>
  <si>
    <t>CACHOEIRA DOURADA</t>
  </si>
  <si>
    <t>NILOPOLIS</t>
  </si>
  <si>
    <t>MARCIANOPOLIS</t>
  </si>
  <si>
    <t>GUARILANDIA</t>
  </si>
  <si>
    <t>JOVIANIA</t>
  </si>
  <si>
    <t>VENDA SECA</t>
  </si>
  <si>
    <t>MONTES CLAROS</t>
  </si>
  <si>
    <t>SANTA CRUZ DE GOIAS</t>
  </si>
  <si>
    <t>PIRES BELO</t>
  </si>
  <si>
    <t>CATALAO</t>
  </si>
  <si>
    <t>DAVINOPOLIS</t>
  </si>
  <si>
    <t>MARCELANDIA</t>
  </si>
  <si>
    <t>MORRINHOS</t>
  </si>
  <si>
    <t>PIRACANJUBA</t>
  </si>
  <si>
    <t>PONTALINA</t>
  </si>
  <si>
    <t>PANAMA</t>
  </si>
  <si>
    <t>AGUA LIMPA</t>
  </si>
  <si>
    <t>PALMELO</t>
  </si>
  <si>
    <t>PIRES DO RIO</t>
  </si>
  <si>
    <t>CROMINIA</t>
  </si>
  <si>
    <t>CORUMBAIBA</t>
  </si>
  <si>
    <t>URUTAI</t>
  </si>
  <si>
    <t>ALOANDIA</t>
  </si>
  <si>
    <t>ITUMBIARA</t>
  </si>
  <si>
    <t>CALDAS NOVAS</t>
  </si>
  <si>
    <t>PROFESSOR JAMIL</t>
  </si>
  <si>
    <t>PEROBAS - POV</t>
  </si>
  <si>
    <t>OUVIDOR</t>
  </si>
  <si>
    <t>MARZAGAO</t>
  </si>
  <si>
    <t>VERISSIMO</t>
  </si>
  <si>
    <t>GOIANDIRA</t>
  </si>
  <si>
    <t>EDEIA</t>
  </si>
  <si>
    <t>EDEALINA</t>
  </si>
  <si>
    <t>CAMPO ALEGRE DE GOIAS</t>
  </si>
  <si>
    <t>BOM JESUS DE GOIAS</t>
  </si>
  <si>
    <t>MEIA PONTE - POV</t>
  </si>
  <si>
    <t>RANCHO ALEGRE</t>
  </si>
  <si>
    <t>USINA ROCHEDO</t>
  </si>
  <si>
    <t>CENTRO ESTULANDIA</t>
  </si>
  <si>
    <t>VICENTINOPOLIS</t>
  </si>
  <si>
    <t>ANHANGUERA</t>
  </si>
  <si>
    <t>TRES RANCHOS</t>
  </si>
  <si>
    <t>NOVA AURORA</t>
  </si>
  <si>
    <t>SESMARIA</t>
  </si>
  <si>
    <t>DOIS IRMAOS</t>
  </si>
  <si>
    <t>RIO QUENTE</t>
  </si>
  <si>
    <t>RONELANDIA</t>
  </si>
  <si>
    <t>SARANDI</t>
  </si>
  <si>
    <t>CORUMBAJUBA</t>
  </si>
  <si>
    <t>SANTA BARBARA II</t>
  </si>
  <si>
    <t>SANTO ANTONIO DO RIO PEIXE</t>
  </si>
  <si>
    <t>CACHOEIRA</t>
  </si>
  <si>
    <t>TAQUARAL DA CAPELA - POV</t>
  </si>
  <si>
    <t>SERRA NEGRA</t>
  </si>
  <si>
    <t>ESPRAIADO - POV</t>
  </si>
  <si>
    <t>FIRMEZA</t>
  </si>
  <si>
    <t>JUNQUERLANDIA - POV</t>
  </si>
  <si>
    <t>PARAISO - POV</t>
  </si>
  <si>
    <t>SAPE - POV</t>
  </si>
  <si>
    <t>NOSSA SENHORA DE FATIMA - POV</t>
  </si>
  <si>
    <t>VILA SUCENA - POV</t>
  </si>
  <si>
    <t>OLHO D AGUA III - POV</t>
  </si>
  <si>
    <t>PEDRA BRANCA</t>
  </si>
  <si>
    <t>AREIAO</t>
  </si>
  <si>
    <t>CAVALHEIROS</t>
  </si>
  <si>
    <t>TOMAZINOPOLIS</t>
  </si>
  <si>
    <t>TREVO FLORESTA - POV</t>
  </si>
  <si>
    <t>SANTO ANTONIO DO RIO VERDE</t>
  </si>
  <si>
    <t>CERES</t>
  </si>
  <si>
    <t>SAO PATRICIO</t>
  </si>
  <si>
    <t>IPIRANGA DE GOIAS</t>
  </si>
  <si>
    <t>MINACU</t>
  </si>
  <si>
    <t>UIRAPURU</t>
  </si>
  <si>
    <t>CRUZEIRO VI</t>
  </si>
  <si>
    <t>FORMOSO</t>
  </si>
  <si>
    <t>CAXIAS DE GOIAS</t>
  </si>
  <si>
    <t>MARA ROSA</t>
  </si>
  <si>
    <t>NOVA VILA</t>
  </si>
  <si>
    <t>BONOPOLIS</t>
  </si>
  <si>
    <t>SANTO ANTONIO DA CANA BRAVA</t>
  </si>
  <si>
    <t>JK I</t>
  </si>
  <si>
    <t>SAO MIGUEL DO ARAGUAIA</t>
  </si>
  <si>
    <t>MANDINOPOLIS</t>
  </si>
  <si>
    <t>GUARINOS</t>
  </si>
  <si>
    <t>PILAR CRUZ</t>
  </si>
  <si>
    <t>PILAR DE GOIAS</t>
  </si>
  <si>
    <t>XIXA - POV</t>
  </si>
  <si>
    <t>NOVA CRIXAS</t>
  </si>
  <si>
    <t>ASINOPOLIS</t>
  </si>
  <si>
    <t>PORANGATU</t>
  </si>
  <si>
    <t>ALTO HORIZONTE</t>
  </si>
  <si>
    <t>MATA AZUL</t>
  </si>
  <si>
    <t>MONTIVIDIU DO NORTE</t>
  </si>
  <si>
    <t>VILA APARECIDA DE GOIAS</t>
  </si>
  <si>
    <t>ITAPACI</t>
  </si>
  <si>
    <t>COLINAS DO SUL</t>
  </si>
  <si>
    <t>GRUPELANDIA</t>
  </si>
  <si>
    <t>LAVRAS - POV</t>
  </si>
  <si>
    <t>CRIXAS</t>
  </si>
  <si>
    <t>DUTRALINA</t>
  </si>
  <si>
    <t>HIDROLINA</t>
  </si>
  <si>
    <t>AMARALINA</t>
  </si>
  <si>
    <t>LUZELANDIA</t>
  </si>
  <si>
    <t>SANTA TEREZINHA DE GOIAS</t>
  </si>
  <si>
    <t>POSSELANDIA II</t>
  </si>
  <si>
    <t>SAO LUIZ DO NORTE</t>
  </si>
  <si>
    <t>URUACU</t>
  </si>
  <si>
    <t>RUBIATABA</t>
  </si>
  <si>
    <t>BRAGOLANDIA</t>
  </si>
  <si>
    <t>NOVA GLORIA</t>
  </si>
  <si>
    <t>CAMPINORTE</t>
  </si>
  <si>
    <t>NOVA AMERICA</t>
  </si>
  <si>
    <t>CAPELINHA - POV</t>
  </si>
  <si>
    <t>MUTUNOPOLIS</t>
  </si>
  <si>
    <t>ESTRELA DO NORTE</t>
  </si>
  <si>
    <t>SANTA TEREZA DE GOIAS</t>
  </si>
  <si>
    <t>PONTE NOVA</t>
  </si>
  <si>
    <t>NOVO PLANALTO</t>
  </si>
  <si>
    <t>TROMBAS</t>
  </si>
  <si>
    <t>CRUZEIRO DO NORTE</t>
  </si>
  <si>
    <t>URUALINA</t>
  </si>
  <si>
    <t>NIQUELANDIA</t>
  </si>
  <si>
    <t>CRUZEIRO</t>
  </si>
  <si>
    <t>VALDELANDIA</t>
  </si>
  <si>
    <t>CAMPOS VERDES</t>
  </si>
  <si>
    <t>AURIVERDE</t>
  </si>
  <si>
    <t>TUCHELANDIA</t>
  </si>
  <si>
    <t>VILA TAVEIRA</t>
  </si>
  <si>
    <t>CEDROLINA</t>
  </si>
  <si>
    <t>VILA SERTANEJA</t>
  </si>
  <si>
    <t>MUNDO NOVO</t>
  </si>
  <si>
    <t>SERRA DE CAMPOS</t>
  </si>
  <si>
    <t>INDAIANOPOLIS</t>
  </si>
  <si>
    <t>LINDA VISTA II</t>
  </si>
  <si>
    <t>BAUNILHA</t>
  </si>
  <si>
    <t>TUPIRACABA</t>
  </si>
  <si>
    <t>RECANTO 3 BARRAS</t>
  </si>
  <si>
    <t>MACHADINHO - POV</t>
  </si>
  <si>
    <t>LUIZ ALVES</t>
  </si>
  <si>
    <t>SAO SEBASTIAO</t>
  </si>
  <si>
    <t>LAGINOPOLIS</t>
  </si>
  <si>
    <t>CACULANDIA - POV</t>
  </si>
  <si>
    <t>MUQUEM - POV</t>
  </si>
  <si>
    <t>CRUZEIRO DO NORTE II</t>
  </si>
  <si>
    <t>VERA CRUZ I</t>
  </si>
  <si>
    <t>ESTREITO</t>
  </si>
  <si>
    <t>GERIACU (MATAO)</t>
  </si>
  <si>
    <t>TATAIRA</t>
  </si>
  <si>
    <t>MARTINOPOLIS</t>
  </si>
  <si>
    <t>TREVO</t>
  </si>
  <si>
    <t>VILA SAO PEDRO - POV</t>
  </si>
  <si>
    <t>VILA BORBA - POV</t>
  </si>
  <si>
    <t>PATRIMONIO DO BURITI - POV</t>
  </si>
  <si>
    <t>LAJES II - POV</t>
  </si>
  <si>
    <t>FIICOLANDIA - AMARALINA</t>
  </si>
  <si>
    <t>GOIATABA</t>
  </si>
  <si>
    <t>FIICOLANDIA - MARA ROSA</t>
  </si>
  <si>
    <t>RASTA BANDEIRA</t>
  </si>
  <si>
    <t>VILA CANALINA</t>
  </si>
  <si>
    <t>CAMPINACU</t>
  </si>
  <si>
    <t>COLINACU - POV</t>
  </si>
  <si>
    <t>JERUSALEM</t>
  </si>
  <si>
    <t>MATA DO IMBE - POV</t>
  </si>
  <si>
    <t>FUNIL</t>
  </si>
  <si>
    <t>BARREIRA DA BENVINDA</t>
  </si>
  <si>
    <t>AGUA BRANCA</t>
  </si>
  <si>
    <t>CLUBE DOS 30</t>
  </si>
  <si>
    <t>COQUEIRO DE GALHO</t>
  </si>
  <si>
    <t>SANTO ANTONIO VII - POV</t>
  </si>
  <si>
    <t>PATRIMONIO DO VICENTE</t>
  </si>
  <si>
    <t>LAVRINHA</t>
  </si>
  <si>
    <t>SANTO AGOSTINHO</t>
  </si>
  <si>
    <t>SAO JOSE DO CAIAMAR</t>
  </si>
  <si>
    <t>CAMPO LIMPO - POV</t>
  </si>
  <si>
    <t>MORRO DE CAMPO - POV</t>
  </si>
  <si>
    <t>AMAROLANDIA</t>
  </si>
  <si>
    <t>NOVA IGUACU DE GOIAS</t>
  </si>
  <si>
    <t>ALTO DA BOA VISTA DOS AGUIAR</t>
  </si>
  <si>
    <t>VENERANDIA</t>
  </si>
  <si>
    <t>GARIMPINHO - POV</t>
  </si>
  <si>
    <t>QUEBRA LINHA</t>
  </si>
  <si>
    <t>VISTA ALEGRE</t>
  </si>
  <si>
    <t>SAO JOSE DOS BANDEIRANTES</t>
  </si>
  <si>
    <t>INFUSAO</t>
  </si>
  <si>
    <t>CRUZEIRO V</t>
  </si>
  <si>
    <t>POSSELANDIA</t>
  </si>
  <si>
    <t>GUAPO</t>
  </si>
  <si>
    <t>CAPELINHA</t>
  </si>
  <si>
    <t>MATA FEIA</t>
  </si>
  <si>
    <t>BELA VISTA DE GOIAS</t>
  </si>
  <si>
    <t>ENGENHEIRO VALENTE</t>
  </si>
  <si>
    <t>GOIA VISTA</t>
  </si>
  <si>
    <t>CRUZEIRO II</t>
  </si>
  <si>
    <t>SILVANIA</t>
  </si>
  <si>
    <t>ADELINOPOLIS (ESMERIL)</t>
  </si>
  <si>
    <t>VIANOPOLIS</t>
  </si>
  <si>
    <t>GERCINAPOLIS</t>
  </si>
  <si>
    <t>VARJAO</t>
  </si>
  <si>
    <t>INHUMAS</t>
  </si>
  <si>
    <t>TRINDADE</t>
  </si>
  <si>
    <t>ITAUCU</t>
  </si>
  <si>
    <t>NEROPOLIS</t>
  </si>
  <si>
    <t>HIDROLANDIA</t>
  </si>
  <si>
    <t>SENADOR CANEDO</t>
  </si>
  <si>
    <t>CATURAI</t>
  </si>
  <si>
    <t>DAMOLANDIA</t>
  </si>
  <si>
    <t>NOVA VENEZA</t>
  </si>
  <si>
    <t>BRAZABRANTES</t>
  </si>
  <si>
    <t>GOIANIRA</t>
  </si>
  <si>
    <t>ARAGOIANIA</t>
  </si>
  <si>
    <t>ARACU</t>
  </si>
  <si>
    <t>BONFINOPOLIS</t>
  </si>
  <si>
    <t>SANTA BARBARA DE GOIAS</t>
  </si>
  <si>
    <t>DEUSLANDIA</t>
  </si>
  <si>
    <t>CAMPESTRE DE GOIAS</t>
  </si>
  <si>
    <t>SANTO ANTONIO DE GOIAS</t>
  </si>
  <si>
    <t>SAO MIGUEL DO PASSA QUATRO</t>
  </si>
  <si>
    <t>ORDALIA - POV</t>
  </si>
  <si>
    <t>NOVA FATIMA</t>
  </si>
  <si>
    <t>SENADOR PARANHOS</t>
  </si>
  <si>
    <t>SANTA MARIA</t>
  </si>
  <si>
    <t>CEDRO</t>
  </si>
  <si>
    <t>CALDAZINHA</t>
  </si>
  <si>
    <t>ROSELANDIA</t>
  </si>
  <si>
    <t>OLOANA</t>
  </si>
  <si>
    <t>SAO BENEDITO II</t>
  </si>
  <si>
    <t>CARAIBA</t>
  </si>
  <si>
    <t>ENGENHO VELHO</t>
  </si>
  <si>
    <t>PONTE FUNDA</t>
  </si>
  <si>
    <t>GAMELEIRA DE GOIAS</t>
  </si>
  <si>
    <t>MUCAMBINHO</t>
  </si>
  <si>
    <t>CONCEICAO</t>
  </si>
  <si>
    <t>ABADIA DE GOIAS</t>
  </si>
  <si>
    <t>CRISTIANOPOLIS</t>
  </si>
  <si>
    <t>BREJO BONITO</t>
  </si>
  <si>
    <t>MONTES BELOS</t>
  </si>
  <si>
    <t>Matricula</t>
  </si>
  <si>
    <t xml:space="preserve">Nome </t>
  </si>
  <si>
    <t>Cod_Acesso</t>
  </si>
  <si>
    <t>#NUM_ADITIVO</t>
  </si>
  <si>
    <t>#NUM_DE_EXECUCAO_DE_OBRA</t>
  </si>
  <si>
    <t>#NUM_UC</t>
  </si>
  <si>
    <t>#NUM_CONTRATO</t>
  </si>
  <si>
    <t>#LOCALIDADE_CIDADE</t>
  </si>
  <si>
    <t>#CODIGO_CNAE</t>
  </si>
  <si>
    <t>#LOCAL_DA_MEDICAO</t>
  </si>
  <si>
    <t>#DEMANDA_MÁXIMA_MEDICAO_KV</t>
  </si>
  <si>
    <t>#PONTA</t>
  </si>
  <si>
    <t>#DEMANDA_GERACAO_KW</t>
  </si>
  <si>
    <t>#ENCARGO_DE_RESPONSABILIDADE_DA_ACESSADA_ERD</t>
  </si>
  <si>
    <t>#PARTICIPAÇÃO_FINANCEIRA_DO_CONSUMIDOR_PFO</t>
  </si>
  <si>
    <t>#FORMA_DE_EXECUÇÃO_DAS_OBRAS</t>
  </si>
  <si>
    <t>#NUM_TERMOS_DO_COMPROMISSO_DE_RESTITUIÇÃO_DE_VALORES</t>
  </si>
  <si>
    <t>#PRAZO_DE_VIGENCIA</t>
  </si>
  <si>
    <t>#PRAZO_OBRAS</t>
  </si>
  <si>
    <t>#PROPRIEDADE_DAS_INSTALACOES</t>
  </si>
  <si>
    <t>#Data_de_EMISSAO</t>
  </si>
  <si>
    <t>#FIM_DAS_OBRAS</t>
  </si>
  <si>
    <t>#INICIO_DAS_OBRAS</t>
  </si>
  <si>
    <t>#NUMERO_CONTRATO_EXECUCAO_B</t>
  </si>
  <si>
    <t>#DATA_CELEBRACAO_B</t>
  </si>
  <si>
    <t>#MODELO_DOC1</t>
  </si>
  <si>
    <t>#MODELO_DOC2</t>
  </si>
  <si>
    <t>#MODELO_DOC3</t>
  </si>
  <si>
    <t>STATUS_DOC1</t>
  </si>
  <si>
    <t>STATUS_DOC2</t>
  </si>
  <si>
    <t>STATUS_DOC3</t>
  </si>
  <si>
    <t>#USUARIO</t>
  </si>
  <si>
    <t>#INICIO_FATURAMENTO_DEMANDA</t>
  </si>
  <si>
    <t>#INCIO_FATURAMENTO_GD</t>
  </si>
  <si>
    <t>#CRONOGRAMA_DATA_DA_ENTRADA_EM_OPERACAO_EM_TESTE_E_COMERCIAL</t>
  </si>
  <si>
    <t>#DESEJA_RESEBER_EMAIL</t>
  </si>
  <si>
    <t>#EMAIL</t>
  </si>
  <si>
    <t>SIM</t>
  </si>
  <si>
    <t>#PERDAS_DE_TRANSFROMACAO%2</t>
  </si>
  <si>
    <t>#DEMANDA_CONTRATADA</t>
  </si>
  <si>
    <t>#VALOR_ORCAMENTARIO_LEI_14_133</t>
  </si>
  <si>
    <t>#VALOR_ORCAMENTARIO_LEI_8_666</t>
  </si>
  <si>
    <t>#VALOR_ORCAMENTARIO_LEI_13_303</t>
  </si>
  <si>
    <t>#DOTACAO_N_CONTA</t>
  </si>
  <si>
    <t>#DOTACAO_NATUREZA_DESPESA</t>
  </si>
  <si>
    <t>#DOTACAO_FONTE_DE_RECURSO</t>
  </si>
  <si>
    <t xml:space="preserve">#DISPENSA_INEXIGIBILIDADE </t>
  </si>
  <si>
    <t>#INCISO</t>
  </si>
  <si>
    <t>#ARTIGO</t>
  </si>
  <si>
    <t xml:space="preserve">#PROCESSO_DISPENSA_INEXIGIBILIDADE </t>
  </si>
  <si>
    <t xml:space="preserve">#DATA_PUBLICACAO_DISPENSA_INEXIGIBILIDADE </t>
  </si>
  <si>
    <t>#RESOLUCAO_AUTORIZATIVA</t>
  </si>
  <si>
    <t>Deseja receber o email</t>
  </si>
  <si>
    <t>Não</t>
  </si>
  <si>
    <t>#NOME_DO_ARQUIVO_GERADO_DOC1</t>
  </si>
  <si>
    <t>#NOME_DO_ARQUIVO_GERADO_DOC2</t>
  </si>
  <si>
    <t>#NOME_DO_ARQUIVO_GERADO_DOC3</t>
  </si>
  <si>
    <t>CUSD</t>
  </si>
  <si>
    <t>CCER</t>
  </si>
  <si>
    <t>CUSD - ADITIVO</t>
  </si>
  <si>
    <t>CCER - ADITIVO</t>
  </si>
  <si>
    <t>#TIPO_DE_CONTRATO_DOC1</t>
  </si>
  <si>
    <t>MODELO_CONTRATO_DE_EXECUCAO_DE_OBRAS</t>
  </si>
  <si>
    <t>CEO</t>
  </si>
  <si>
    <t>ADITIVO</t>
  </si>
  <si>
    <t>Novo Contrato</t>
  </si>
  <si>
    <t>Renovação de Contrato</t>
  </si>
  <si>
    <t>Data</t>
  </si>
  <si>
    <t>#CODID</t>
  </si>
  <si>
    <t>#DEMANDA_PREVISTA</t>
  </si>
  <si>
    <t>MODELO_ADITIVO_CCER_GA</t>
  </si>
  <si>
    <t>MODELO_ADITIVO_CUSD_GA</t>
  </si>
  <si>
    <t>MODELO_CCER_GA</t>
  </si>
  <si>
    <t>Dispensa/inexibilidade</t>
  </si>
  <si>
    <t>DISPENSA</t>
  </si>
  <si>
    <t>#PERDAS_DE_TRANSFROMACAO%</t>
  </si>
  <si>
    <t>#ACESSANTE_3</t>
  </si>
  <si>
    <t>#CARGO_A_3</t>
  </si>
  <si>
    <t>#CPF_A_3</t>
  </si>
  <si>
    <t>dsd</t>
  </si>
  <si>
    <t>MODELO_CUSD_GA</t>
  </si>
  <si>
    <t>#CODID#</t>
  </si>
  <si>
    <t>INEXIGIBILIDADE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</si>
</sst>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44" fontId="0" fillId="0" borderId="0" xfId="1" applyFont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0" fontId="5" fillId="20" borderId="0" xfId="0" applyFont="1" applyFill="1" applyAlignment="1">
      <alignment horizontal="center" vertical="center"/>
    </xf>
    <xf numFmtId="22" fontId="0" fillId="0" borderId="0" xfId="0" applyNumberFormat="1" applyAlignment="1">
      <alignment horizontal="center"/>
    </xf>
    <xf numFmtId="22" fontId="0" fillId="0" borderId="0" xfId="0" applyNumberFormat="1"/>
    <xf numFmtId="0" fontId="0" fillId="21" borderId="0" xfId="0" applyFill="1" applyAlignment="1">
      <alignment horizontal="center" vertical="center"/>
    </xf>
    <xf numFmtId="0" fontId="0" fillId="0" borderId="0" xfId="0" applyNumberFormat="1" applyAlignment="1">
      <alignment horizontal="center"/>
    </xf>
  </cellXfs>
  <cellStyles count="2">
    <cellStyle name="Moeda" xfId="1" builtinId="4"/>
    <cellStyle name="Normal" xfId="0" builtinId="0"/>
  </cellStyles>
  <dxfs count="107"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dd/mm/yyyy\ hh:mm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sv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</xdr:colOff>
      <xdr:row>7</xdr:row>
      <xdr:rowOff>61721</xdr:rowOff>
    </xdr:from>
    <xdr:to>
      <xdr:col>10</xdr:col>
      <xdr:colOff>266700</xdr:colOff>
      <xdr:row>11</xdr:row>
      <xdr:rowOff>95251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A2139765-C61B-2FEF-CE76-2E401AD7C055}"/>
            </a:ext>
          </a:extLst>
        </xdr:cNvPr>
        <xdr:cNvGrpSpPr/>
      </xdr:nvGrpSpPr>
      <xdr:grpSpPr>
        <a:xfrm>
          <a:off x="3676649" y="1395221"/>
          <a:ext cx="2686051" cy="795530"/>
          <a:chOff x="3362324" y="680846"/>
          <a:chExt cx="2686051" cy="795530"/>
        </a:xfrm>
      </xdr:grpSpPr>
      <xdr:sp macro="[0]!Cadastrar_Modelo_DOC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C3E88214-CE23-70FC-ED39-C052505610EF}"/>
              </a:ext>
            </a:extLst>
          </xdr:cNvPr>
          <xdr:cNvSpPr/>
        </xdr:nvSpPr>
        <xdr:spPr>
          <a:xfrm>
            <a:off x="3980218" y="771524"/>
            <a:ext cx="2068157" cy="638175"/>
          </a:xfrm>
          <a:prstGeom prst="roundRect">
            <a:avLst/>
          </a:prstGeom>
          <a:solidFill>
            <a:srgbClr val="00B0F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Arial" panose="020B0604020202020204" pitchFamily="34" charset="0"/>
                <a:cs typeface="Arial" panose="020B0604020202020204" pitchFamily="34" charset="0"/>
              </a:rPr>
              <a:t>CADASTRAR MODELO WORD</a:t>
            </a:r>
          </a:p>
        </xdr:txBody>
      </xdr:sp>
      <xdr:pic macro="[0]!Cadastrar_Modelo_DOC">
        <xdr:nvPicPr>
          <xdr:cNvPr id="4" name="Imagem 3">
            <a:extLst>
              <a:ext uri="{FF2B5EF4-FFF2-40B4-BE49-F238E27FC236}">
                <a16:creationId xmlns:a16="http://schemas.microsoft.com/office/drawing/2014/main" id="{312E3196-4813-1416-6102-F5A6D700E1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2324" y="680846"/>
            <a:ext cx="838022" cy="79553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455969</xdr:colOff>
      <xdr:row>12</xdr:row>
      <xdr:rowOff>142874</xdr:rowOff>
    </xdr:from>
    <xdr:to>
      <xdr:col>12</xdr:col>
      <xdr:colOff>476250</xdr:colOff>
      <xdr:row>17</xdr:row>
      <xdr:rowOff>57193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CB2FCBA-A057-702D-DCAE-8E7AAF56F0BA}"/>
            </a:ext>
          </a:extLst>
        </xdr:cNvPr>
        <xdr:cNvGrpSpPr/>
      </xdr:nvGrpSpPr>
      <xdr:grpSpPr>
        <a:xfrm>
          <a:off x="5332769" y="2428874"/>
          <a:ext cx="2458681" cy="866819"/>
          <a:chOff x="4265969" y="2219324"/>
          <a:chExt cx="2458681" cy="866819"/>
        </a:xfrm>
      </xdr:grpSpPr>
      <xdr:sp macro="[0]!Apagar_Modelo_DOC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F43D1E00-1E5C-DF43-EEC7-3BE63E59FAAE}"/>
              </a:ext>
            </a:extLst>
          </xdr:cNvPr>
          <xdr:cNvSpPr/>
        </xdr:nvSpPr>
        <xdr:spPr>
          <a:xfrm>
            <a:off x="4265969" y="2343149"/>
            <a:ext cx="1830032" cy="638175"/>
          </a:xfrm>
          <a:prstGeom prst="roundRect">
            <a:avLst/>
          </a:prstGeom>
          <a:solidFill>
            <a:srgbClr val="FFC00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Arial" panose="020B0604020202020204" pitchFamily="34" charset="0"/>
                <a:cs typeface="Arial" panose="020B0604020202020204" pitchFamily="34" charset="0"/>
              </a:rPr>
              <a:t>APAGAR</a:t>
            </a:r>
            <a:r>
              <a:rPr lang="pt-BR" sz="1100" b="1" baseline="0">
                <a:latin typeface="Arial" panose="020B0604020202020204" pitchFamily="34" charset="0"/>
                <a:cs typeface="Arial" panose="020B0604020202020204" pitchFamily="34" charset="0"/>
              </a:rPr>
              <a:t> MODELO WORD</a:t>
            </a:r>
            <a:endParaRPr lang="pt-BR" sz="11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Apagar_Modelo_DOC">
        <xdr:nvPicPr>
          <xdr:cNvPr id="11" name="Imagem 10">
            <a:extLst>
              <a:ext uri="{FF2B5EF4-FFF2-40B4-BE49-F238E27FC236}">
                <a16:creationId xmlns:a16="http://schemas.microsoft.com/office/drawing/2014/main" id="{86E38871-3A4E-2145-A824-58A384B5A3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19776" y="2219324"/>
            <a:ext cx="904874" cy="86681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18</xdr:row>
      <xdr:rowOff>123825</xdr:rowOff>
    </xdr:from>
    <xdr:to>
      <xdr:col>12</xdr:col>
      <xdr:colOff>438150</xdr:colOff>
      <xdr:row>23</xdr:row>
      <xdr:rowOff>57150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BCFF38F-B07E-A0DD-9DC2-79E52422B0F4}"/>
            </a:ext>
          </a:extLst>
        </xdr:cNvPr>
        <xdr:cNvGrpSpPr/>
      </xdr:nvGrpSpPr>
      <xdr:grpSpPr>
        <a:xfrm>
          <a:off x="3743325" y="3552825"/>
          <a:ext cx="4010025" cy="885825"/>
          <a:chOff x="4324350" y="2828925"/>
          <a:chExt cx="4010025" cy="885825"/>
        </a:xfrm>
      </xdr:grpSpPr>
      <xdr:sp macro="[0]!Cadastrar_Dados_Contrato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B68BD402-2293-C651-5693-A917C5DFDC81}"/>
              </a:ext>
            </a:extLst>
          </xdr:cNvPr>
          <xdr:cNvSpPr/>
        </xdr:nvSpPr>
        <xdr:spPr>
          <a:xfrm>
            <a:off x="4848225" y="2857500"/>
            <a:ext cx="3486150" cy="8001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Cadastrar</a:t>
            </a:r>
            <a:r>
              <a:rPr lang="pt-BR" sz="1600" b="1" baseline="0"/>
              <a:t> dados do contrato</a:t>
            </a:r>
            <a:endParaRPr lang="pt-BR" sz="1600" b="1"/>
          </a:p>
        </xdr:txBody>
      </xdr:sp>
      <xdr:pic macro="[0]!Cadastrar_Dados_Contrato">
        <xdr:nvPicPr>
          <xdr:cNvPr id="6" name="Imagem 5">
            <a:extLst>
              <a:ext uri="{FF2B5EF4-FFF2-40B4-BE49-F238E27FC236}">
                <a16:creationId xmlns:a16="http://schemas.microsoft.com/office/drawing/2014/main" id="{403010B2-8CAD-2A03-2D36-773B427B1E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24350" y="2828925"/>
            <a:ext cx="947341" cy="88582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571500</xdr:colOff>
      <xdr:row>0</xdr:row>
      <xdr:rowOff>0</xdr:rowOff>
    </xdr:from>
    <xdr:to>
      <xdr:col>18</xdr:col>
      <xdr:colOff>19050</xdr:colOff>
      <xdr:row>3</xdr:row>
      <xdr:rowOff>19050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4D814E2-008D-0F9D-DCA5-8AEBC863EEB7}"/>
            </a:ext>
          </a:extLst>
        </xdr:cNvPr>
        <xdr:cNvSpPr/>
      </xdr:nvSpPr>
      <xdr:spPr>
        <a:xfrm rot="10800000">
          <a:off x="3619500" y="0"/>
          <a:ext cx="7848600" cy="59055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9</xdr:col>
      <xdr:colOff>22988</xdr:colOff>
      <xdr:row>0</xdr:row>
      <xdr:rowOff>41571</xdr:rowOff>
    </xdr:from>
    <xdr:ext cx="3875934" cy="505267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C76B8276-75A7-7EC2-4B51-F63A83E0A20C}"/>
            </a:ext>
          </a:extLst>
        </xdr:cNvPr>
        <xdr:cNvSpPr txBox="1"/>
      </xdr:nvSpPr>
      <xdr:spPr>
        <a:xfrm>
          <a:off x="5509388" y="41571"/>
          <a:ext cx="3875934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Sistema de Contratos</a:t>
          </a:r>
        </a:p>
      </xdr:txBody>
    </xdr:sp>
    <xdr:clientData/>
  </xdr:oneCellAnchor>
  <xdr:twoCellAnchor>
    <xdr:from>
      <xdr:col>15</xdr:col>
      <xdr:colOff>638175</xdr:colOff>
      <xdr:row>4</xdr:row>
      <xdr:rowOff>85725</xdr:rowOff>
    </xdr:from>
    <xdr:to>
      <xdr:col>18</xdr:col>
      <xdr:colOff>209550</xdr:colOff>
      <xdr:row>10</xdr:row>
      <xdr:rowOff>85725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57F23D1-6DF8-4610-9889-592AECA5BE81}"/>
            </a:ext>
          </a:extLst>
        </xdr:cNvPr>
        <xdr:cNvGrpSpPr/>
      </xdr:nvGrpSpPr>
      <xdr:grpSpPr>
        <a:xfrm>
          <a:off x="9782175" y="847725"/>
          <a:ext cx="1876425" cy="1143000"/>
          <a:chOff x="2371726" y="1038225"/>
          <a:chExt cx="1657349" cy="1143000"/>
        </a:xfrm>
        <a:solidFill>
          <a:srgbClr val="002060"/>
        </a:solidFill>
      </xdr:grpSpPr>
      <xdr:sp macro="[0]!Cadastrar_usuario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6B414F76-0E53-135F-6DA9-476492DBA027}"/>
              </a:ext>
            </a:extLst>
          </xdr:cNvPr>
          <xdr:cNvSpPr/>
        </xdr:nvSpPr>
        <xdr:spPr>
          <a:xfrm>
            <a:off x="2371726" y="1038225"/>
            <a:ext cx="1657349" cy="1143000"/>
          </a:xfrm>
          <a:prstGeom prst="roundRect">
            <a:avLst/>
          </a:pr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Cadastar</a:t>
            </a:r>
            <a:r>
              <a:rPr lang="pt-BR" sz="1600" b="1" baseline="0"/>
              <a:t> Usuário</a:t>
            </a:r>
            <a:endParaRPr lang="pt-BR" sz="1600" b="1"/>
          </a:p>
        </xdr:txBody>
      </xdr:sp>
      <xdr:pic macro="[0]!Cadastrar_usuario">
        <xdr:nvPicPr>
          <xdr:cNvPr id="15" name="Imagem 14">
            <a:extLst>
              <a:ext uri="{FF2B5EF4-FFF2-40B4-BE49-F238E27FC236}">
                <a16:creationId xmlns:a16="http://schemas.microsoft.com/office/drawing/2014/main" id="{12F4216D-37D9-89A1-00D7-BACA67FD3E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43226" y="1514476"/>
            <a:ext cx="523874" cy="523874"/>
          </a:xfrm>
          <a:prstGeom prst="rect">
            <a:avLst/>
          </a:prstGeom>
          <a:grpFill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95</xdr:col>
      <xdr:colOff>27564</xdr:colOff>
      <xdr:row>0</xdr:row>
      <xdr:rowOff>0</xdr:rowOff>
    </xdr:from>
    <xdr:to>
      <xdr:col>95</xdr:col>
      <xdr:colOff>1551653</xdr:colOff>
      <xdr:row>0</xdr:row>
      <xdr:rowOff>263081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2956D94-6D0E-07CD-FF65-251E6457C7BE}"/>
            </a:ext>
          </a:extLst>
        </xdr:cNvPr>
        <xdr:cNvGrpSpPr/>
      </xdr:nvGrpSpPr>
      <xdr:grpSpPr>
        <a:xfrm>
          <a:off x="3189864" y="0"/>
          <a:ext cx="1524089" cy="263081"/>
          <a:chOff x="3192322" y="0"/>
          <a:chExt cx="1524089" cy="263081"/>
        </a:xfrm>
      </xdr:grpSpPr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24EA089-F184-E651-6FFA-0C1EC6EF72B0}"/>
              </a:ext>
            </a:extLst>
          </xdr:cNvPr>
          <xdr:cNvGrpSpPr/>
        </xdr:nvGrpSpPr>
        <xdr:grpSpPr>
          <a:xfrm>
            <a:off x="3192322" y="0"/>
            <a:ext cx="1524089" cy="263081"/>
            <a:chOff x="3192322" y="0"/>
            <a:chExt cx="1524089" cy="263081"/>
          </a:xfrm>
        </xdr:grpSpPr>
        <xdr:sp macro="[0]!GERAR_DOC1" textlink="">
          <xdr:nvSpPr>
            <xdr:cNvPr id="15" name="Retângulo: Cantos Superiores Arredondados 14">
              <a:extLst>
                <a:ext uri="{FF2B5EF4-FFF2-40B4-BE49-F238E27FC236}">
                  <a16:creationId xmlns:a16="http://schemas.microsoft.com/office/drawing/2014/main" id="{5319F288-9C3C-90A2-427E-5F67D01FDC09}"/>
                </a:ext>
              </a:extLst>
            </xdr:cNvPr>
            <xdr:cNvSpPr/>
          </xdr:nvSpPr>
          <xdr:spPr>
            <a:xfrm rot="10800000">
              <a:off x="3295341" y="0"/>
              <a:ext cx="1421070" cy="238124"/>
            </a:xfrm>
            <a:prstGeom prst="round2SameRect">
              <a:avLst/>
            </a:prstGeom>
            <a:solidFill>
              <a:srgbClr val="EE000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GERAR_DOC1">
          <xdr:nvPicPr>
            <xdr:cNvPr id="8" name="Imagem 7">
              <a:extLst>
                <a:ext uri="{FF2B5EF4-FFF2-40B4-BE49-F238E27FC236}">
                  <a16:creationId xmlns:a16="http://schemas.microsoft.com/office/drawing/2014/main" id="{26DEB1EB-327F-D342-6DFF-7AE19FFBE4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92322" y="0"/>
              <a:ext cx="263081" cy="263081"/>
            </a:xfrm>
            <a:prstGeom prst="rect">
              <a:avLst/>
            </a:prstGeom>
          </xdr:spPr>
        </xdr:pic>
      </xdr:grpSp>
      <xdr:sp macro="[0]!GERAR_DOC1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758D2C2-35B8-B983-476D-7DAB01C9720E}"/>
              </a:ext>
            </a:extLst>
          </xdr:cNvPr>
          <xdr:cNvSpPr txBox="1"/>
        </xdr:nvSpPr>
        <xdr:spPr>
          <a:xfrm>
            <a:off x="3441290" y="0"/>
            <a:ext cx="1244395" cy="22276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Gerar</a:t>
            </a:r>
            <a:r>
              <a:rPr lang="pt-BR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Doc 1</a:t>
            </a:r>
            <a:endParaRPr lang="pt-BR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96</xdr:col>
      <xdr:colOff>103149</xdr:colOff>
      <xdr:row>0</xdr:row>
      <xdr:rowOff>0</xdr:rowOff>
    </xdr:from>
    <xdr:to>
      <xdr:col>96</xdr:col>
      <xdr:colOff>1627238</xdr:colOff>
      <xdr:row>0</xdr:row>
      <xdr:rowOff>263081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8A73BC6-B16C-5EDB-3103-3D561522B5F1}"/>
            </a:ext>
          </a:extLst>
        </xdr:cNvPr>
        <xdr:cNvGrpSpPr/>
      </xdr:nvGrpSpPr>
      <xdr:grpSpPr>
        <a:xfrm>
          <a:off x="4894224" y="0"/>
          <a:ext cx="1524089" cy="263081"/>
          <a:chOff x="4896375" y="0"/>
          <a:chExt cx="1524089" cy="263081"/>
        </a:xfrm>
      </xdr:grpSpPr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98DF9CAA-3748-4EF1-B198-D78994BA7BB1}"/>
              </a:ext>
            </a:extLst>
          </xdr:cNvPr>
          <xdr:cNvGrpSpPr/>
        </xdr:nvGrpSpPr>
        <xdr:grpSpPr>
          <a:xfrm>
            <a:off x="4896375" y="0"/>
            <a:ext cx="1524089" cy="263081"/>
            <a:chOff x="3192322" y="0"/>
            <a:chExt cx="1524089" cy="263081"/>
          </a:xfrm>
        </xdr:grpSpPr>
        <xdr:sp macro="[0]!GERAR_DOC2" textlink="">
          <xdr:nvSpPr>
            <xdr:cNvPr id="18" name="Retângulo: Cantos Superiores Arredondados 17">
              <a:extLst>
                <a:ext uri="{FF2B5EF4-FFF2-40B4-BE49-F238E27FC236}">
                  <a16:creationId xmlns:a16="http://schemas.microsoft.com/office/drawing/2014/main" id="{3018AF14-E746-88CD-440D-40A4843B2F34}"/>
                </a:ext>
              </a:extLst>
            </xdr:cNvPr>
            <xdr:cNvSpPr/>
          </xdr:nvSpPr>
          <xdr:spPr>
            <a:xfrm rot="10800000">
              <a:off x="3295341" y="0"/>
              <a:ext cx="1421070" cy="238124"/>
            </a:xfrm>
            <a:prstGeom prst="round2SameRect">
              <a:avLst/>
            </a:prstGeom>
            <a:solidFill>
              <a:srgbClr val="EE000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GERAR_DOC2">
          <xdr:nvPicPr>
            <xdr:cNvPr id="19" name="Imagem 18">
              <a:extLst>
                <a:ext uri="{FF2B5EF4-FFF2-40B4-BE49-F238E27FC236}">
                  <a16:creationId xmlns:a16="http://schemas.microsoft.com/office/drawing/2014/main" id="{F05D8E19-A9BB-E055-A41C-D47614FFA8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92322" y="0"/>
              <a:ext cx="263081" cy="263081"/>
            </a:xfrm>
            <a:prstGeom prst="rect">
              <a:avLst/>
            </a:prstGeom>
          </xdr:spPr>
        </xdr:pic>
      </xdr:grpSp>
      <xdr:sp macro="[0]!GERAR_DOC2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83DF4E2E-4DFA-476A-A0D8-788601FD0794}"/>
              </a:ext>
            </a:extLst>
          </xdr:cNvPr>
          <xdr:cNvSpPr txBox="1"/>
        </xdr:nvSpPr>
        <xdr:spPr>
          <a:xfrm>
            <a:off x="5106936" y="0"/>
            <a:ext cx="1244395" cy="22276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Gerar</a:t>
            </a:r>
            <a:r>
              <a:rPr lang="pt-BR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Doc 2</a:t>
            </a:r>
            <a:endParaRPr lang="pt-BR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97</xdr:col>
      <xdr:colOff>63514</xdr:colOff>
      <xdr:row>0</xdr:row>
      <xdr:rowOff>0</xdr:rowOff>
    </xdr:from>
    <xdr:to>
      <xdr:col>97</xdr:col>
      <xdr:colOff>1587603</xdr:colOff>
      <xdr:row>0</xdr:row>
      <xdr:rowOff>263081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7CA741AF-31B3-13C9-3684-EE9103EA8126}"/>
            </a:ext>
          </a:extLst>
        </xdr:cNvPr>
        <xdr:cNvGrpSpPr/>
      </xdr:nvGrpSpPr>
      <xdr:grpSpPr>
        <a:xfrm>
          <a:off x="6559564" y="0"/>
          <a:ext cx="1524089" cy="263081"/>
          <a:chOff x="6562022" y="0"/>
          <a:chExt cx="1524089" cy="263081"/>
        </a:xfrm>
      </xdr:grpSpPr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D5B66F9F-7242-4AC1-8711-56E3218DBD53}"/>
              </a:ext>
            </a:extLst>
          </xdr:cNvPr>
          <xdr:cNvGrpSpPr/>
        </xdr:nvGrpSpPr>
        <xdr:grpSpPr>
          <a:xfrm>
            <a:off x="6562022" y="0"/>
            <a:ext cx="1524089" cy="263081"/>
            <a:chOff x="3192322" y="0"/>
            <a:chExt cx="1524089" cy="263081"/>
          </a:xfrm>
        </xdr:grpSpPr>
        <xdr:sp macro="[0]!GERAR_DOC3" textlink="">
          <xdr:nvSpPr>
            <xdr:cNvPr id="21" name="Retângulo: Cantos Superiores Arredondados 20">
              <a:extLst>
                <a:ext uri="{FF2B5EF4-FFF2-40B4-BE49-F238E27FC236}">
                  <a16:creationId xmlns:a16="http://schemas.microsoft.com/office/drawing/2014/main" id="{88A034DB-CE2D-5C07-2F8D-58670EC3BE83}"/>
                </a:ext>
              </a:extLst>
            </xdr:cNvPr>
            <xdr:cNvSpPr/>
          </xdr:nvSpPr>
          <xdr:spPr>
            <a:xfrm rot="10800000">
              <a:off x="3295341" y="0"/>
              <a:ext cx="1421070" cy="238124"/>
            </a:xfrm>
            <a:prstGeom prst="round2SameRect">
              <a:avLst/>
            </a:prstGeom>
            <a:solidFill>
              <a:srgbClr val="EE000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GERAR_DOC3">
          <xdr:nvPicPr>
            <xdr:cNvPr id="22" name="Imagem 21">
              <a:extLst>
                <a:ext uri="{FF2B5EF4-FFF2-40B4-BE49-F238E27FC236}">
                  <a16:creationId xmlns:a16="http://schemas.microsoft.com/office/drawing/2014/main" id="{0716B552-DD3B-1A11-FEC7-5788693593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92322" y="0"/>
              <a:ext cx="263081" cy="263081"/>
            </a:xfrm>
            <a:prstGeom prst="rect">
              <a:avLst/>
            </a:prstGeom>
          </xdr:spPr>
        </xdr:pic>
      </xdr:grpSp>
      <xdr:sp macro="[0]!GERAR_DOC3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A056D50-A3BC-486A-94E4-E505C0EDBDD0}"/>
              </a:ext>
            </a:extLst>
          </xdr:cNvPr>
          <xdr:cNvSpPr txBox="1"/>
        </xdr:nvSpPr>
        <xdr:spPr>
          <a:xfrm>
            <a:off x="6792465" y="0"/>
            <a:ext cx="1244395" cy="22276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Gerar</a:t>
            </a:r>
            <a:r>
              <a:rPr lang="pt-BR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Doc 3</a:t>
            </a:r>
            <a:endParaRPr lang="pt-BR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102</xdr:col>
      <xdr:colOff>99859</xdr:colOff>
      <xdr:row>0</xdr:row>
      <xdr:rowOff>15363</xdr:rowOff>
    </xdr:from>
    <xdr:to>
      <xdr:col>102</xdr:col>
      <xdr:colOff>1213670</xdr:colOff>
      <xdr:row>0</xdr:row>
      <xdr:rowOff>837278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D382CE6B-B1E2-84E2-ACF7-21996CAE0440}"/>
            </a:ext>
          </a:extLst>
        </xdr:cNvPr>
        <xdr:cNvGrpSpPr/>
      </xdr:nvGrpSpPr>
      <xdr:grpSpPr>
        <a:xfrm>
          <a:off x="11120284" y="15363"/>
          <a:ext cx="1113811" cy="821915"/>
          <a:chOff x="8495685" y="99859"/>
          <a:chExt cx="1075404" cy="821915"/>
        </a:xfrm>
      </xdr:grpSpPr>
      <xdr:sp macro="[0]!GERAR_TODOS_DOCS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2C0E7F9A-71FA-7C14-B848-784369C2372D}"/>
              </a:ext>
            </a:extLst>
          </xdr:cNvPr>
          <xdr:cNvSpPr/>
        </xdr:nvSpPr>
        <xdr:spPr>
          <a:xfrm>
            <a:off x="8495685" y="207399"/>
            <a:ext cx="1075404" cy="714375"/>
          </a:xfrm>
          <a:prstGeom prst="roundRect">
            <a:avLst/>
          </a:prstGeom>
          <a:solidFill>
            <a:srgbClr val="EE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100" b="1">
                <a:latin typeface="Arial" panose="020B0604020202020204" pitchFamily="34" charset="0"/>
                <a:cs typeface="Arial" panose="020B0604020202020204" pitchFamily="34" charset="0"/>
              </a:rPr>
              <a:t>Gerar</a:t>
            </a:r>
            <a:r>
              <a:rPr lang="pt-BR" sz="1100" b="1" baseline="0">
                <a:latin typeface="Arial" panose="020B0604020202020204" pitchFamily="34" charset="0"/>
                <a:cs typeface="Arial" panose="020B0604020202020204" pitchFamily="34" charset="0"/>
              </a:rPr>
              <a:t> todos DOC's</a:t>
            </a:r>
            <a:endParaRPr lang="pt-BR" sz="11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GERAR_TODOS_DOCS">
        <xdr:nvPicPr>
          <xdr:cNvPr id="33" name="Imagem 32">
            <a:extLst>
              <a:ext uri="{FF2B5EF4-FFF2-40B4-BE49-F238E27FC236}">
                <a16:creationId xmlns:a16="http://schemas.microsoft.com/office/drawing/2014/main" id="{D3693CB8-8DE7-D31B-9C34-BA9EB9D0D7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19142" y="99859"/>
            <a:ext cx="407117" cy="407117"/>
          </a:xfrm>
          <a:prstGeom prst="rect">
            <a:avLst/>
          </a:prstGeom>
        </xdr:spPr>
      </xdr:pic>
    </xdr:grpSp>
    <xdr:clientData/>
  </xdr:twoCellAnchor>
  <xdr:twoCellAnchor>
    <xdr:from>
      <xdr:col>100</xdr:col>
      <xdr:colOff>113993</xdr:colOff>
      <xdr:row>0</xdr:row>
      <xdr:rowOff>21816</xdr:rowOff>
    </xdr:from>
    <xdr:to>
      <xdr:col>100</xdr:col>
      <xdr:colOff>1227804</xdr:colOff>
      <xdr:row>0</xdr:row>
      <xdr:rowOff>843731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70F3722-6F76-4E65-A95D-1A04023006F0}"/>
            </a:ext>
          </a:extLst>
        </xdr:cNvPr>
        <xdr:cNvGrpSpPr/>
      </xdr:nvGrpSpPr>
      <xdr:grpSpPr>
        <a:xfrm>
          <a:off x="9667568" y="21816"/>
          <a:ext cx="1113811" cy="821915"/>
          <a:chOff x="8495685" y="99859"/>
          <a:chExt cx="1075404" cy="821915"/>
        </a:xfrm>
      </xdr:grpSpPr>
      <xdr:sp macro="[0]!Cadastrar_Dados_Contrato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9B9F20E9-BB79-FCB2-AA7C-882A1D9B7899}"/>
              </a:ext>
            </a:extLst>
          </xdr:cNvPr>
          <xdr:cNvSpPr/>
        </xdr:nvSpPr>
        <xdr:spPr>
          <a:xfrm>
            <a:off x="8495685" y="207399"/>
            <a:ext cx="1075404" cy="714375"/>
          </a:xfrm>
          <a:prstGeom prst="roundRect">
            <a:avLst/>
          </a:prstGeom>
          <a:solidFill>
            <a:srgbClr val="00B05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100" b="1">
                <a:latin typeface="Arial" panose="020B0604020202020204" pitchFamily="34" charset="0"/>
                <a:cs typeface="Arial" panose="020B0604020202020204" pitchFamily="34" charset="0"/>
              </a:rPr>
              <a:t>Cadastar dados</a:t>
            </a:r>
          </a:p>
        </xdr:txBody>
      </xdr:sp>
      <xdr:pic macro="[0]!Cadastrar_Dados_Contrato">
        <xdr:nvPicPr>
          <xdr:cNvPr id="38" name="Imagem 37">
            <a:extLst>
              <a:ext uri="{FF2B5EF4-FFF2-40B4-BE49-F238E27FC236}">
                <a16:creationId xmlns:a16="http://schemas.microsoft.com/office/drawing/2014/main" id="{52E91792-69DB-7560-7D53-4EBA57114A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826161" y="99859"/>
            <a:ext cx="393079" cy="407117"/>
          </a:xfrm>
          <a:prstGeom prst="rect">
            <a:avLst/>
          </a:prstGeom>
        </xdr:spPr>
      </xdr:pic>
    </xdr:grpSp>
    <xdr:clientData/>
  </xdr:twoCellAnchor>
  <xdr:twoCellAnchor>
    <xdr:from>
      <xdr:col>103</xdr:col>
      <xdr:colOff>209549</xdr:colOff>
      <xdr:row>0</xdr:row>
      <xdr:rowOff>0</xdr:rowOff>
    </xdr:from>
    <xdr:to>
      <xdr:col>103</xdr:col>
      <xdr:colOff>1457324</xdr:colOff>
      <xdr:row>0</xdr:row>
      <xdr:rowOff>857251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50ECB76-55B5-943E-F50C-CB96D92C80A9}"/>
            </a:ext>
          </a:extLst>
        </xdr:cNvPr>
        <xdr:cNvGrpSpPr/>
      </xdr:nvGrpSpPr>
      <xdr:grpSpPr>
        <a:xfrm>
          <a:off x="12534899" y="0"/>
          <a:ext cx="1247775" cy="857251"/>
          <a:chOff x="12639674" y="0"/>
          <a:chExt cx="1247775" cy="857251"/>
        </a:xfrm>
      </xdr:grpSpPr>
      <xdr:sp macro="[0]!MoverDadosParaHistorico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BCBF25E9-DA44-147C-57CD-953D0D50670D}"/>
              </a:ext>
            </a:extLst>
          </xdr:cNvPr>
          <xdr:cNvSpPr/>
        </xdr:nvSpPr>
        <xdr:spPr>
          <a:xfrm>
            <a:off x="12639674" y="140369"/>
            <a:ext cx="1247775" cy="716882"/>
          </a:xfrm>
          <a:prstGeom prst="roundRect">
            <a:avLst/>
          </a:prstGeom>
          <a:solidFill>
            <a:srgbClr val="7030A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Arial" panose="020B0604020202020204" pitchFamily="34" charset="0"/>
                <a:cs typeface="Arial" panose="020B0604020202020204" pitchFamily="34" charset="0"/>
              </a:rPr>
              <a:t>Mover</a:t>
            </a:r>
            <a:r>
              <a:rPr lang="pt-BR" sz="1100" b="1" baseline="0">
                <a:latin typeface="Arial" panose="020B0604020202020204" pitchFamily="34" charset="0"/>
                <a:cs typeface="Arial" panose="020B0604020202020204" pitchFamily="34" charset="0"/>
              </a:rPr>
              <a:t> para o Historico</a:t>
            </a:r>
            <a:endParaRPr lang="pt-BR" sz="11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MoverDadosParaHistorico">
        <xdr:nvPicPr>
          <xdr:cNvPr id="3" name="Gráfico 2" descr="Disco com preenchimento sólido">
            <a:extLst>
              <a:ext uri="{FF2B5EF4-FFF2-40B4-BE49-F238E27FC236}">
                <a16:creationId xmlns:a16="http://schemas.microsoft.com/office/drawing/2014/main" id="{4FB153A4-9F56-A25A-18AB-9E542AF2DE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028921" y="0"/>
            <a:ext cx="432342" cy="381000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NDERSSON FERREIRA DE PAULA" id="{139A44F1-01E8-4C66-A99B-58A9EDF5B129}" userId="S::jandersson.paula@equatorialenergia.com.br::107f8bc6-251e-4584-9167-c97e8992e2fb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857A246-1F68-4F7C-822E-0C2481C13D63}" name="Tabela15" displayName="Tabela15" ref="A1:CU2" totalsRowShown="0" headerRowDxfId="106" dataDxfId="105">
  <autoFilter ref="A1:CU2" xr:uid="{D857A246-1F68-4F7C-822E-0C2481C13D63}"/>
  <tableColumns count="99">
    <tableColumn id="1" xr3:uid="{993C640B-5B51-432D-B18C-C163F29A87C0}" name="#CODID#" dataDxfId="104">
      <calculatedColumnFormula>CONCATENATE(_xlfn.XLOOKUP(Tabela15[[#This Row],['#CARTEIRA]],BD!E:E,BD!F:F,"ID",0,),"_",ROW())</calculatedColumnFormula>
    </tableColumn>
    <tableColumn id="74" xr3:uid="{FE5B842E-6540-45B7-A16E-5A8A18C6AECF}" name="#NUM_UC" dataDxfId="103"/>
    <tableColumn id="2" xr3:uid="{182EC1E2-D767-4864-B1EE-0221B63637F2}" name="#NUM_CONTRATO" dataDxfId="102"/>
    <tableColumn id="3" xr3:uid="{34BB44EE-0A6D-4E95-B9A0-A84E96402C34}" name="#NUM_DE_EXECUCAO_DE_OBRA" dataDxfId="101"/>
    <tableColumn id="4" xr3:uid="{30B62413-02F6-4029-8265-387EBCED6225}" name="#NUM_ADITIVO" dataDxfId="100"/>
    <tableColumn id="5" xr3:uid="{0D4E4AAB-B022-4642-AB7F-E4168D9C0457}" name="#NOME_CLIENTE" dataDxfId="99"/>
    <tableColumn id="6" xr3:uid="{8EB8ECE1-DDB6-485F-B1E3-5F758551AD13}" name="#CPF_CNPJ" dataDxfId="98"/>
    <tableColumn id="86" xr3:uid="{A25C2F9F-35AE-4E36-9096-95855F394EEA}" name="#DESEJA_RESEBER_EMAIL" dataDxfId="97"/>
    <tableColumn id="72" xr3:uid="{2388EDF1-13A4-4E1B-A5EB-9388DCCA58B1}" name="#EMAIL" dataDxfId="96"/>
    <tableColumn id="7" xr3:uid="{AE9A640A-8A9E-4DDF-8400-E8000A28F8BA}" name="#CODIGO_CNAE" dataDxfId="95"/>
    <tableColumn id="8" xr3:uid="{A3C13943-18F7-491B-95B4-1F14E892CB5C}" name="#ATIVIDADE" dataDxfId="94"/>
    <tableColumn id="9" xr3:uid="{082D9F03-7AA6-463E-AEF7-270470CED47B}" name="#ENDERECO" dataDxfId="93"/>
    <tableColumn id="10" xr3:uid="{E497F50E-A289-4CAE-BE4F-D6C5978DDA29}" name="#LOCALIDADE_CIDADE" dataDxfId="92"/>
    <tableColumn id="11" xr3:uid="{0EC9C0CE-308F-4732-A09E-05C4E4A5A1A3}" name="#CEP" dataDxfId="91"/>
    <tableColumn id="12" xr3:uid="{7D97B100-E325-4E3F-A920-82DAF9C64C14}" name="#TENSAO_NOMINAL_CONTRATADA_KV" dataDxfId="90"/>
    <tableColumn id="13" xr3:uid="{986F0610-5D2D-42A8-A775-BFA48D9E44F1}" name="#MODALIDADE_DE_ACESSO" dataDxfId="89"/>
    <tableColumn id="14" xr3:uid="{1F395AE6-DBD9-4E8A-9C4A-93EE679E1021}" name="#TIPO_DE_ACESSANTE" dataDxfId="88"/>
    <tableColumn id="15" xr3:uid="{580B91B5-6D78-4F24-A7CF-9230AAB27F92}" name="#CLASSE_DE_CONSUMO" dataDxfId="87"/>
    <tableColumn id="16" xr3:uid="{FDEC1DE0-8C1F-44DC-91C8-6076E183A13F}" name="#SUBGRUPO_TARIFARIO" dataDxfId="86">
      <calculatedColumnFormula>IF(Tabela15[[#This Row],['#TENSAO_NOMINAL_CONTRATADA_KV]]=13.8,"A4",IF(Tabela15[[#This Row],['#TENSAO_NOMINAL_CONTRATADA_KV]]=34.5,"A3-A",IF(Tabela15[[#This Row],['#TENSAO_NOMINAL_CONTRATADA_KV]]=69,"A3",IF(Tabela15[[#This Row],['#TENSAO_NOMINAL_CONTRATADA_KV]]=138,"A2","Valor inválido"))))</calculatedColumnFormula>
    </tableColumn>
    <tableColumn id="17" xr3:uid="{161A1B5B-E21C-43A3-895D-088CC0C024AF}" name="#POTENCIA_INSTALADA_KVA" dataDxfId="85"/>
    <tableColumn id="18" xr3:uid="{881CFCFB-C005-41C1-A5C1-3E2151BB836D}" name="#POTENCIA_INSTALADA_KW" dataDxfId="84"/>
    <tableColumn id="19" xr3:uid="{043C3F11-0BDB-4C6D-8DB8-0AC0D4D3BBB8}" name="#CARGA_PROPRIA_KW" dataDxfId="83"/>
    <tableColumn id="20" xr3:uid="{CF991780-6336-4A8F-BAF1-C53D7A5FDF20}" name="#DEMANDA_GERACAO_KW" dataDxfId="82"/>
    <tableColumn id="37" xr3:uid="{32385EDA-6411-4052-82CE-A18138879F6B}" name="#PROPRIEDADE_DAS_INSTALACOES" dataDxfId="81"/>
    <tableColumn id="87" xr3:uid="{BE1AD254-5B4E-494F-A01E-8C599C8A6203}" name="#DEMANDA_CONTRATADA" dataDxfId="80"/>
    <tableColumn id="21" xr3:uid="{829498C1-4A86-4FFB-B9EC-E43D9916B195}" name="#PERDAS_DE_TRANSFROMACAO%" dataDxfId="79"/>
    <tableColumn id="22" xr3:uid="{E861375B-E7C1-486D-92AD-948B7ADC84F2}" name="#LOCAL_DA_MEDICAO" dataDxfId="78"/>
    <tableColumn id="23" xr3:uid="{85AFA08C-5D9E-4F41-B9C0-692AEA0CB4BA}" name="#MODALIDADE_TARIFARIA" dataDxfId="77"/>
    <tableColumn id="24" xr3:uid="{8C2177F3-757B-48A9-8264-3E32AAB2FA0C}" name="#UNICA_KW" dataDxfId="76"/>
    <tableColumn id="25" xr3:uid="{B665E920-91AD-4146-BD7C-F7E47F104697}" name="#DEMANDA_MÁXIMA_MEDICAO_KV" dataDxfId="75"/>
    <tableColumn id="26" xr3:uid="{5AE448A4-0514-4384-B73C-68A5E149EA39}" name="#DEMANDA_PREVISTA" dataDxfId="74"/>
    <tableColumn id="27" xr3:uid="{5D716684-8A3A-4A08-B804-34C5C090E153}" name="#PONTA" dataDxfId="73"/>
    <tableColumn id="28" xr3:uid="{ECBCA5DE-8DF9-432F-AD97-A4B9610D2E85}" name="#FORA_PONTA" dataDxfId="72"/>
    <tableColumn id="29" xr3:uid="{E49FA66D-96CC-49FB-8287-4297B69B53D6}" name="#CUSTO_TOTAL_DA_OBRA" dataDxfId="71"/>
    <tableColumn id="30" xr3:uid="{9A0AD1AF-6572-46A0-AE2E-8391B1F90879}" name="#ENCARGO_DE_RESPONSABILIDADE_DA_ACESSADA_ERD" dataDxfId="70"/>
    <tableColumn id="31" xr3:uid="{BD9E8C20-68D0-4DBA-919C-BB9BA9935CFB}" name="#CUSTO_DA_OBRA_PARA_ATENDIMENTO_DO_CONSUMIDOR" dataDxfId="69"/>
    <tableColumn id="32" xr3:uid="{327AA26F-C64B-4DCD-AABF-1F5F5C8E1AEE}" name="#PARTICIPAÇÃO_FINANCEIRA_DO_CONSUMIDOR_PFO" dataDxfId="68"/>
    <tableColumn id="33" xr3:uid="{CECDC138-6778-416B-AC9B-E171A7E8CDB3}" name="#FORMA_DE_EXECUÇÃO_DAS_OBRAS" dataDxfId="67"/>
    <tableColumn id="92" xr3:uid="{DB8D897A-5C62-4E7C-BA6D-4CF8E9098097}" name="#VALOR_ORCAMENTARIO_LEI_14_133" dataDxfId="66" dataCellStyle="Moeda"/>
    <tableColumn id="91" xr3:uid="{DF585880-67C7-45BA-B9D0-5B8339AE5657}" name="#VALOR_ORCAMENTARIO_LEI_8_666" dataDxfId="65" dataCellStyle="Moeda"/>
    <tableColumn id="90" xr3:uid="{48884FAE-28BE-4B4A-BFB2-2DC49A261BD0}" name="#VALOR_ORCAMENTARIO_LEI_13_303" dataDxfId="64" dataCellStyle="Moeda"/>
    <tableColumn id="34" xr3:uid="{92E17B1F-2D32-4E6C-9E68-27C22956E225}" name="#DETALHAMENTO_DA_OBRA_A_SER_REALIZADA" dataDxfId="63"/>
    <tableColumn id="93" xr3:uid="{79AA9E82-0AF3-4781-B071-EAAEB243D627}" name="#DOTACAO_N_CONTA" dataDxfId="62"/>
    <tableColumn id="94" xr3:uid="{97947095-E39C-43C6-926B-CA4C23D57C46}" name="#DOTACAO_NATUREZA_DESPESA" dataDxfId="61"/>
    <tableColumn id="95" xr3:uid="{2A28BE91-301C-4AFC-A98C-1E1228ED3858}" name="#DOTACAO_FONTE_DE_RECURSO" dataDxfId="60"/>
    <tableColumn id="96" xr3:uid="{4AD43EDE-D099-40BF-9F72-656B1B730D5D}" name="#DISPENSA_INEXIGIBILIDADE " dataDxfId="59"/>
    <tableColumn id="99" xr3:uid="{60A2945E-475C-4E8A-99F6-322C9D25C83B}" name="#INCISO" dataDxfId="58"/>
    <tableColumn id="98" xr3:uid="{5EAE8CBC-7CDA-4DDC-B716-290FC42453B2}" name="#ARTIGO" dataDxfId="57"/>
    <tableColumn id="97" xr3:uid="{3BB7DE88-5FE4-4424-BB6D-3747D64E3377}" name="#PROCESSO_DISPENSA_INEXIGIBILIDADE " dataDxfId="56"/>
    <tableColumn id="100" xr3:uid="{72572DD1-58C8-4283-ADED-976A9D8B372F}" name="#DATA_PUBLICACAO_DISPENSA_INEXIGIBILIDADE " dataDxfId="55"/>
    <tableColumn id="101" xr3:uid="{D4C2654E-95FE-4C8B-B1B0-A1EAB572F9F3}" name="#RESOLUCAO_AUTORIZATIVA" dataDxfId="54"/>
    <tableColumn id="35" xr3:uid="{E41B0651-2C45-4D05-8FA5-3C0599883868}" name="#PRAZO_DE_VIGENCIA" dataDxfId="53"/>
    <tableColumn id="36" xr3:uid="{BF27B43A-E966-43F8-B01F-2FCB7097BCE3}" name="#PRAZO_OBRAS" dataDxfId="52"/>
    <tableColumn id="38" xr3:uid="{B7D54A46-6C6B-4463-9D82-B2886148E3B7}" name="#INICIO_DAS_OBRAS" dataDxfId="51">
      <calculatedColumnFormula>TEXT(Tabela15[[#This Row],['#Data_de_EMISSAO]]+10,"dd/mm/aaaa")</calculatedColumnFormula>
    </tableColumn>
    <tableColumn id="39" xr3:uid="{4F69191D-C92E-4BB5-8447-9834C8B6B25E}" name="#FIM_DAS_OBRAS" dataDxfId="50">
      <calculatedColumnFormula>IFERROR(TEXT(Tabela15[[#This Row],['#INICIO_DAS_OBRAS]]+Tabela15[[#This Row],['#PRAZO_OBRAS]],"dd/mm/aaaa"),"N/A")</calculatedColumnFormula>
    </tableColumn>
    <tableColumn id="40" xr3:uid="{1FC23613-CC37-43C2-98DE-6AC73B623DD4}" name="#OBRAS_60" dataDxfId="49">
      <calculatedColumnFormula>IFERROR(IF(Tabela15[[#This Row],['#PRAZO_OBRAS]]*1&lt;=60,"X"," ")," ")</calculatedColumnFormula>
    </tableColumn>
    <tableColumn id="41" xr3:uid="{B493FB7F-E741-4A12-890B-F82B5A0D3BBF}" name="#OBRAS_120" dataDxfId="48">
      <calculatedColumnFormula>IFERROR(IF(AND(Tabela15[[#This Row],['#PRAZO_OBRAS]]*1&gt;60,Tabela15[[#This Row],['#PRAZO_OBRAS]]*1&lt;=120),"X","  "),"")</calculatedColumnFormula>
    </tableColumn>
    <tableColumn id="42" xr3:uid="{8DE51F6E-B686-4C4E-B701-AD94C1D80D38}" name="#OBRAS_365" dataDxfId="47">
      <calculatedColumnFormula>IFERROR(IF(AND(Tabela15[[#This Row],['#PRAZO_OBRAS]]*1&gt;120,Tabela15[[#This Row],['#PRAZO_OBRAS]]*1&lt;=365),"X","  "),"")</calculatedColumnFormula>
    </tableColumn>
    <tableColumn id="43" xr3:uid="{BEB66B2D-29DB-4780-B177-93D9909ABCD2}" name="#OBRA_CRONOGRAMA_DA_DISTRIBUIDORA" dataDxfId="46">
      <calculatedColumnFormula>IFERROR(IF(AND(Tabela15[[#This Row],['#PRAZO_OBRAS]]*1&gt;120,Tabela15[[#This Row],['#PRAZO_OBRAS]]*1&gt;365),"X","  "),"")</calculatedColumnFormula>
    </tableColumn>
    <tableColumn id="44" xr3:uid="{72F4F68B-DBC8-4DFA-8A40-F7FD03524960}" name="#CRONOGRAMA_DATA_DA_ENTRADA_EM_OPERACAO_EM_TESTE_E_COMERCIAL" dataDxfId="45"/>
    <tableColumn id="45" xr3:uid="{0FFD2D0F-E761-4499-8B5C-3C19423FC873}" name="#NUM_TERMOS_DO_COMPROMISSO_DE_RESTITUIÇÃO_DE_VALORES" dataDxfId="44"/>
    <tableColumn id="46" xr3:uid="{FFEC2D80-DCC9-42B9-83EB-7C844F15D749}" name="#Data_de_EMISSAO" dataDxfId="43">
      <calculatedColumnFormula>TEXT(TODAY(),"DD/MMMMMM/AAAA")</calculatedColumnFormula>
    </tableColumn>
    <tableColumn id="47" xr3:uid="{A0F0C749-3CD2-4729-B916-E2ACF62C083E}" name="#DATA_DE_ENERGIZACAO" dataDxfId="42"/>
    <tableColumn id="48" xr3:uid="{5D6DA963-C984-4687-A8B5-ECED37D0B7E4}" name="#NUMERO_CONTRATO_EXECUCAO_A" dataDxfId="41">
      <calculatedColumnFormula>IF(Tabela15[[#This Row],['#FORMA_DE_EXECUÇÃO_DAS_OBRAS]]="A",Tabela15[[#This Row],['#NUM_CONTRATO]],"N/A")</calculatedColumnFormula>
    </tableColumn>
    <tableColumn id="49" xr3:uid="{E71B0EC9-16BE-4988-A145-D316F0E45C63}" name="#DATA_CELEBRACAO_A" dataDxfId="40">
      <calculatedColumnFormula>IF(Tabela15[[#This Row],['#FORMA_DE_EXECUÇÃO_DAS_OBRAS]]="A",Tabela15[[#This Row],['#INICIO_DAS_OBRAS]],"N/A")</calculatedColumnFormula>
    </tableColumn>
    <tableColumn id="50" xr3:uid="{CD59FE12-0802-48D6-9295-5BD085605803}" name="#NUMERO_CONTRATO_EXECUCAO_B" dataDxfId="39">
      <calculatedColumnFormula>IF(Tabela15[[#This Row],['#FORMA_DE_EXECUÇÃO_DAS_OBRAS]]="B",Tabela15[[#This Row],['#NUM_CONTRATO]],"N/A")</calculatedColumnFormula>
    </tableColumn>
    <tableColumn id="51" xr3:uid="{2545ACAE-13C2-4366-B6D4-932736A9E234}" name="#DATA_CELEBRACAO_B" dataDxfId="38">
      <calculatedColumnFormula>IF(Tabela15[[#This Row],['#FORMA_DE_EXECUÇÃO_DAS_OBRAS]]="B",Tabela15[[#This Row],['#INICIO_DAS_OBRAS]],"N/A")</calculatedColumnFormula>
    </tableColumn>
    <tableColumn id="85" xr3:uid="{4AC7D759-BF83-4284-8D1F-72D9FE9F2578}" name="#NUMERO_CONTRATO_EXECUCAO_C" dataDxfId="37">
      <calculatedColumnFormula>IF(Tabela15[[#This Row],['#FORMA_DE_EXECUÇÃO_DAS_OBRAS]]="C",Tabela15[[#This Row],['#NUM_CONTRATO]],"N/A")</calculatedColumnFormula>
    </tableColumn>
    <tableColumn id="84" xr3:uid="{4C849B62-6D16-4EE1-A5EA-6718CC435029}" name="#DATA_CELEBRACAO_C" dataDxfId="36">
      <calculatedColumnFormula>IF(Tabela15[[#This Row],['#FORMA_DE_EXECUÇÃO_DAS_OBRAS]]="c",Tabela15[[#This Row],['#INICIO_DAS_OBRAS]],"N/A")</calculatedColumnFormula>
    </tableColumn>
    <tableColumn id="52" xr3:uid="{C3FF267D-83C1-4A9E-AC80-A68CCB8D5137}" name="#INICIO_FATURAMENTO_DEMANDA" dataDxfId="35"/>
    <tableColumn id="53" xr3:uid="{AA4E1355-B7B0-4B7E-B146-8A7F8F3F004C}" name="#INCIO_FATURAMENTO_GD" dataDxfId="34"/>
    <tableColumn id="54" xr3:uid="{5E95DF18-4869-44E9-9E0A-BC0EB89E6D4F}" name="#ACESSANTE_1" dataDxfId="33"/>
    <tableColumn id="55" xr3:uid="{FDA5C75F-7AD6-45A5-AE53-0251226224CE}" name="#CARGO_A_1" dataDxfId="32"/>
    <tableColumn id="56" xr3:uid="{751B3992-3CA4-4AE7-8409-3C9D42273D74}" name="#CPF_A_1" dataDxfId="31"/>
    <tableColumn id="57" xr3:uid="{367E92F3-FF31-4486-8687-C8E4B58BE193}" name="#ACESSANTE_2" dataDxfId="30"/>
    <tableColumn id="58" xr3:uid="{48DDAB56-5BF1-4F0E-96E5-14AF6DDDBA9D}" name="#CARGO_A_2" dataDxfId="29"/>
    <tableColumn id="59" xr3:uid="{9C697012-D2BC-4E20-A660-14CE29665CBA}" name="#CPF_A_2" dataDxfId="28"/>
    <tableColumn id="63" xr3:uid="{C3B59135-D2FB-47BF-B994-8AA661688D44}" name="#ACESSANTE_3" dataDxfId="27"/>
    <tableColumn id="64" xr3:uid="{7CEB1C74-26CC-4581-8415-DB6786B6399B}" name="#CARGO_A_3" dataDxfId="26"/>
    <tableColumn id="65" xr3:uid="{F1075823-B2B6-4FAB-8ADB-C1A1042E0DCB}" name="#CPF_A_3" dataDxfId="25"/>
    <tableColumn id="66" xr3:uid="{92FA3020-296E-40D9-B09F-BD0162A6548C}" name="#TESTEMUNHA_1" dataDxfId="24"/>
    <tableColumn id="67" xr3:uid="{665FDF09-848C-4D75-B2EA-468D4559C029}" name="#CARGO_T_1" dataDxfId="23"/>
    <tableColumn id="68" xr3:uid="{A940E7A7-954E-49DA-BB04-BC82D43230E7}" name="#CPF_T_1" dataDxfId="22"/>
    <tableColumn id="69" xr3:uid="{903DC72F-ECB4-40F1-BC36-8FA630D8CDF5}" name="#TESTEMUNHA_2" dataDxfId="21"/>
    <tableColumn id="70" xr3:uid="{552D5614-AFB3-4D24-A236-71FA2CE0AAB7}" name="#CARGO_T_2" dataDxfId="20"/>
    <tableColumn id="71" xr3:uid="{8941F7A9-D375-4AAD-988F-456E82A67570}" name="#CPF_T_2" dataDxfId="19"/>
    <tableColumn id="78" xr3:uid="{29DA4B07-B05D-4DA0-960C-7387C95D4CC9}" name="#NOME_DO_ARQUIVO_GERADO_DOC1" dataDxfId="18">
      <calculatedColumnFormula>CONCATENATE(Tabela15[[#This Row],['#CODID'#]]," - ",_xlfn.XLOOKUP(Tabela15[[#This Row],['#MODELO_DOC1]],BD_MODELOS!B:B,BD_MODELOS!C:C,"",0,)," - ",Tabela15[[#This Row],['#NUM_CONTRATO]]," - ", Tabela15[[#This Row],['#NOME_CLIENTE]]," - UC ",Tabela15[[#This Row],['#NUM_UC]])</calculatedColumnFormula>
    </tableColumn>
    <tableColumn id="77" xr3:uid="{1F261F41-A660-4C02-A455-F9E6DD24E9BD}" name="#TIPO_DE_CONTRATO_DOC1" dataDxfId="17"/>
    <tableColumn id="76" xr3:uid="{C6845715-B538-4D76-9994-E6E9110D3D5F}" name="#CARTEIRA" dataDxfId="16"/>
    <tableColumn id="83" xr3:uid="{FC181400-6320-497D-8C71-1EE99FE93AB0}" name="#USUARIO" dataDxfId="15"/>
    <tableColumn id="75" xr3:uid="{134A8C9D-614B-4EF3-B93A-A71467BF536C}" name="#MODELO_DOC1" dataDxfId="14"/>
    <tableColumn id="80" xr3:uid="{32E8FBA1-2D70-4355-8E3B-A98315107DD4}" name="#MODELO_DOC2" dataDxfId="13"/>
    <tableColumn id="79" xr3:uid="{E99EC659-E5A7-495D-9EE5-50EB783D67F4}" name="#MODELO_DOC3" dataDxfId="12"/>
    <tableColumn id="61" xr3:uid="{9C7F6AA8-1DCC-4843-AFDE-6C82C8C35BD4}" name="#NOME_DO_ARQUIVO_GERADO_DOC2" dataDxfId="11">
      <calculatedColumnFormula>CONCATENATE(Tabela15[[#This Row],['#CODID'#]]," - ",_xlfn.XLOOKUP(Tabela15[[#This Row],['#MODELO_DOC2]],BD_MODELOS!B:B,BD_MODELOS!C:C,"",0,)," - ",Tabela15[[#This Row],['#NUM_CONTRATO]]," - ", Tabela15[[#This Row],['#NOME_CLIENTE]]," - UC ",Tabela15[[#This Row],['#NUM_UC]])</calculatedColumnFormula>
    </tableColumn>
    <tableColumn id="60" xr3:uid="{5F5DBE32-609C-4BBF-8D88-28D9EA3E9063}" name="#NOME_DO_ARQUIVO_GERADO_DOC3" dataDxfId="10">
      <calculatedColumnFormula>CONCATENATE(Tabela15[[#This Row],['#CODID'#]]," - ",_xlfn.XLOOKUP(Tabela15[[#This Row],['#MODELO_DOC3]],BD_MODELOS!B:B,BD_MODELOS!C:C,"",0,)," - ",Tabela15[[#This Row],['#NUM_CONTRATO]]," - ", Tabela15[[#This Row],['#NOME_CLIENTE]]," - UC ",Tabela15[[#This Row],['#NUM_UC]])</calculatedColumnFormula>
    </tableColumn>
    <tableColumn id="73" xr3:uid="{5F44C33D-4A0E-4B6C-A5D7-7E912C889A50}" name="STATUS_DOC1" dataDxfId="9"/>
    <tableColumn id="81" xr3:uid="{4BF25B3E-FFB9-4010-A088-2D41F0291FC4}" name="STATUS_DOC2" dataDxfId="8"/>
    <tableColumn id="82" xr3:uid="{5025B50A-4DDB-465C-A4AE-9FDA641B96E2}" name="STATUS_DOC3" dataDxfId="7"/>
    <tableColumn id="103" xr3:uid="{DAA18D1A-86D5-4617-895E-28B1C40AD37A}" name="Data" dataDxfId="6">
      <calculatedColumnFormula>NOW()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17D1D6-393E-4C35-BF74-4394DCCE2545}" name="Tabela2" displayName="Tabela2" ref="A1:CU2" insertRow="1" totalsRowShown="0">
  <autoFilter ref="A1:CU2" xr:uid="{7A17D1D6-393E-4C35-BF74-4394DCCE2545}"/>
  <tableColumns count="99">
    <tableColumn id="1" xr3:uid="{B32DDC7B-6622-4895-A584-E41DB1081B71}" name="#CODID"/>
    <tableColumn id="2" xr3:uid="{A455A835-6455-48C9-9224-871DF4D43682}" name="#NUM_UC"/>
    <tableColumn id="3" xr3:uid="{EA108082-ACEA-4332-AD48-A68EF86AFF49}" name="#NUM_CONTRATO"/>
    <tableColumn id="4" xr3:uid="{E732FF74-D70C-4D37-BB75-D36970FE8968}" name="#NUM_DE_EXECUCAO_DE_OBRA"/>
    <tableColumn id="5" xr3:uid="{4C195A28-A5D6-41FB-9ADB-66C197FBD5B9}" name="#NUM_ADITIVO"/>
    <tableColumn id="6" xr3:uid="{18A9ABBF-D43C-4E51-8E77-557CE22BB9D7}" name="#NOME_CLIENTE"/>
    <tableColumn id="7" xr3:uid="{6596E953-DC00-4A63-9424-5F7A00D96E66}" name="#CPF_CNPJ"/>
    <tableColumn id="8" xr3:uid="{DC92A327-145F-4CD1-9F9A-B56C1E614860}" name="#DESEJA_RESEBER_EMAIL"/>
    <tableColumn id="9" xr3:uid="{AEB333D4-0F28-488B-9D55-8F403AC0AA0A}" name="#EMAIL"/>
    <tableColumn id="10" xr3:uid="{5F222E4E-665F-4196-9C98-0E97AB5E1243}" name="#CODIGO_CNAE"/>
    <tableColumn id="11" xr3:uid="{E6D28ACA-6238-4153-8993-DC93D98D6686}" name="#ATIVIDADE"/>
    <tableColumn id="12" xr3:uid="{3E2F7068-F2AF-4ADF-8C34-80F30C350FC9}" name="#ENDERECO"/>
    <tableColumn id="13" xr3:uid="{D369572D-C0F1-4F1E-A3F1-69E112048B5F}" name="#LOCALIDADE_CIDADE"/>
    <tableColumn id="14" xr3:uid="{49D3EE9B-848F-4D04-8174-58A6A252EFF4}" name="#CEP"/>
    <tableColumn id="15" xr3:uid="{6801BB77-556C-438E-8075-4614F2A90C84}" name="#TENSAO_NOMINAL_CONTRATADA_KV"/>
    <tableColumn id="16" xr3:uid="{68A8603E-407E-4E04-8426-F8714297AC25}" name="#MODALIDADE_DE_ACESSO"/>
    <tableColumn id="17" xr3:uid="{736AAEFA-12BB-4847-A424-623185D96BCD}" name="#TIPO_DE_ACESSANTE"/>
    <tableColumn id="18" xr3:uid="{E13D3CA1-BD46-4BC1-825F-7DB1D6EBFE09}" name="#CLASSE_DE_CONSUMO"/>
    <tableColumn id="19" xr3:uid="{0DBE004C-99C9-4D94-8374-A79C0BED0187}" name="#SUBGRUPO_TARIFARIO"/>
    <tableColumn id="20" xr3:uid="{6A23E23B-8676-4E4B-9BD2-D194AE60BC4F}" name="#POTENCIA_INSTALADA_KVA"/>
    <tableColumn id="21" xr3:uid="{5AA5E3CA-71E3-49C9-B700-EA36814378F1}" name="#POTENCIA_INSTALADA_KW"/>
    <tableColumn id="22" xr3:uid="{1D866080-A199-4D74-B00B-14ACB4433BBE}" name="#CARGA_PROPRIA_KW"/>
    <tableColumn id="23" xr3:uid="{2D1CE84D-3F67-4330-B716-D4F423588458}" name="#DEMANDA_GERACAO_KW"/>
    <tableColumn id="24" xr3:uid="{8FF63162-5F4C-4AB0-859B-1A540C13C165}" name="#PROPRIEDADE_DAS_INSTALACOES"/>
    <tableColumn id="25" xr3:uid="{8382D59F-6243-4D33-86D1-113F37692B8C}" name="#DEMANDA_CONTRATADA"/>
    <tableColumn id="26" xr3:uid="{1D482654-5054-419C-B6A1-DF0028EFCCAB}" name="#PERDAS_DE_TRANSFROMACAO%2"/>
    <tableColumn id="27" xr3:uid="{07E248CD-A3A0-4E6D-AA98-AB1DAAA53302}" name="#LOCAL_DA_MEDICAO"/>
    <tableColumn id="28" xr3:uid="{325869B8-0DC6-40BE-875D-BED267416347}" name="#MODALIDADE_TARIFARIA"/>
    <tableColumn id="29" xr3:uid="{A92E20D4-C739-4A6A-BF30-211968730968}" name="#UNICA_KW"/>
    <tableColumn id="30" xr3:uid="{3568C2B2-456E-461C-B2CB-DF3CBAF9F416}" name="#DEMANDA_MÁXIMA_MEDICAO_KV"/>
    <tableColumn id="31" xr3:uid="{20302821-96D9-4F4E-92A8-C21B372F7FB9}" name="#DEMANDA_PREVISTA"/>
    <tableColumn id="32" xr3:uid="{94F82740-C139-4427-B885-376D6F2EFE5A}" name="#PONTA"/>
    <tableColumn id="33" xr3:uid="{D58A9E58-E1DD-468D-AD22-72435210CB50}" name="#FORA_PONTA"/>
    <tableColumn id="34" xr3:uid="{C5022178-8C40-433E-AAA7-B80AC7BE33FA}" name="#CUSTO_TOTAL_DA_OBRA"/>
    <tableColumn id="35" xr3:uid="{03DC3848-7A61-44AA-915D-EAC481328E71}" name="#ENCARGO_DE_RESPONSABILIDADE_DA_ACESSADA_ERD"/>
    <tableColumn id="36" xr3:uid="{86B2C3B3-2C85-45B2-89BB-948210876E8A}" name="#CUSTO_DA_OBRA_PARA_ATENDIMENTO_DO_CONSUMIDOR"/>
    <tableColumn id="37" xr3:uid="{47A7A8B4-B87D-446E-95FD-4977E46E95E0}" name="#PARTICIPAÇÃO_FINANCEIRA_DO_CONSUMIDOR_PFO"/>
    <tableColumn id="38" xr3:uid="{806ECDC5-B489-4022-B26F-7BF3E9DBCE1B}" name="#FORMA_DE_EXECUÇÃO_DAS_OBRAS"/>
    <tableColumn id="39" xr3:uid="{EB6F8840-0D60-4FFC-842C-1B60283BAD72}" name="#VALOR_ORCAMENTARIO_LEI_14_133"/>
    <tableColumn id="40" xr3:uid="{578E0D7D-4BCA-4BC0-993E-8CABFF89BCFA}" name="#VALOR_ORCAMENTARIO_LEI_8_666"/>
    <tableColumn id="41" xr3:uid="{990AA6EB-4242-4A83-B321-8CCD73B808B5}" name="#VALOR_ORCAMENTARIO_LEI_13_303"/>
    <tableColumn id="42" xr3:uid="{5C157114-7F7B-4CCC-AF97-0F80B0CA61D5}" name="#DETALHAMENTO_DA_OBRA_A_SER_REALIZADA"/>
    <tableColumn id="43" xr3:uid="{0BEBB788-130C-4E61-82C1-4B337CA0931C}" name="#DOTACAO_N_CONTA"/>
    <tableColumn id="44" xr3:uid="{D8A2E9AE-C88A-481D-B3FF-CEB906422993}" name="#DOTACAO_NATUREZA_DESPESA"/>
    <tableColumn id="45" xr3:uid="{8E099079-D4B8-4B67-A61E-419F21755AD0}" name="#DOTACAO_FONTE_DE_RECURSO"/>
    <tableColumn id="46" xr3:uid="{1A2A3574-DCA0-42C0-8ACB-8A9FFD128090}" name="#DISPENSA_INEXIGIBILIDADE "/>
    <tableColumn id="47" xr3:uid="{C8C405AF-732E-44F9-877D-F0882FFA1BCA}" name="#INCISO"/>
    <tableColumn id="48" xr3:uid="{B75F4CFE-CB47-443D-B2FB-E2019F15D369}" name="#ARTIGO"/>
    <tableColumn id="49" xr3:uid="{A0ECD4DD-7A84-464F-A8BE-5E0A3A1BA323}" name="#PROCESSO_DISPENSA_INEXIGIBILIDADE "/>
    <tableColumn id="50" xr3:uid="{C96F5A1A-0009-4066-B387-D68FF41E49E1}" name="#DATA_PUBLICACAO_DISPENSA_INEXIGIBILIDADE "/>
    <tableColumn id="51" xr3:uid="{CF48E9A3-8E27-4953-895A-18F549DC2B89}" name="#RESOLUCAO_AUTORIZATIVA"/>
    <tableColumn id="52" xr3:uid="{CB67980D-66E7-43A9-9A05-FDE63224DD55}" name="#PRAZO_DE_VIGENCIA"/>
    <tableColumn id="53" xr3:uid="{D4C0741E-2E9B-4A23-9CCF-52BAC323B40D}" name="#PRAZO_OBRAS"/>
    <tableColumn id="54" xr3:uid="{F597C0BE-3C8E-4B66-B815-ABEAEAECE85C}" name="#INICIO_DAS_OBRAS"/>
    <tableColumn id="55" xr3:uid="{EF25E409-32A8-454B-A760-121B7F78E3C3}" name="#FIM_DAS_OBRAS"/>
    <tableColumn id="56" xr3:uid="{65260A34-7C1F-462F-BF7C-600A8414AE88}" name="#OBRAS_60"/>
    <tableColumn id="57" xr3:uid="{9346D49D-1732-4E1B-951E-E783BC751949}" name="#OBRAS_120"/>
    <tableColumn id="58" xr3:uid="{F52C6A55-0105-48CE-B83E-6E105A5FA9F8}" name="#OBRAS_365"/>
    <tableColumn id="59" xr3:uid="{C353F4B8-1BED-40AE-9A00-59B8709A80C5}" name="#OBRA_CRONOGRAMA_DA_DISTRIBUIDORA"/>
    <tableColumn id="60" xr3:uid="{9013F88D-16BC-491B-8E11-585069769B6A}" name="#CRONOGRAMA_DATA_DA_ENTRADA_EM_OPERACAO_EM_TESTE_E_COMERCIAL"/>
    <tableColumn id="61" xr3:uid="{1DFA3191-BE64-4A19-B5DD-75E4FBD318A5}" name="#NUM_TERMOS_DO_COMPROMISSO_DE_RESTITUIÇÃO_DE_VALORES"/>
    <tableColumn id="62" xr3:uid="{663016EB-577F-4B39-A291-5EC2192B9729}" name="#Data_de_EMISSAO"/>
    <tableColumn id="63" xr3:uid="{04B3AA39-33E1-429E-B4A9-9B811A88CBB3}" name="#DATA_DE_ENERGIZACAO"/>
    <tableColumn id="64" xr3:uid="{508BF05B-4A75-41D0-8976-A4F77227F869}" name="#NUMERO_CONTRATO_EXECUCAO_A"/>
    <tableColumn id="65" xr3:uid="{6F3CEE55-2952-48B6-9D39-C75C7E1E74C6}" name="#DATA_CELEBRACAO_A"/>
    <tableColumn id="66" xr3:uid="{12639788-44AD-45EB-9D8A-92652467AB01}" name="#NUMERO_CONTRATO_EXECUCAO_B"/>
    <tableColumn id="67" xr3:uid="{E18BC139-0E35-418F-AC7C-7E18838A6680}" name="#DATA_CELEBRACAO_B"/>
    <tableColumn id="68" xr3:uid="{14E53CFC-28DE-49A4-8BDD-97A9BAB471D7}" name="#NUMERO_CONTRATO_EXECUCAO_C"/>
    <tableColumn id="69" xr3:uid="{09D96F0B-C579-44F8-8A41-D6F80EC67168}" name="#DATA_CELEBRACAO_C"/>
    <tableColumn id="70" xr3:uid="{F47716EB-95AB-4898-BFEE-D7434D4A9114}" name="#INICIO_FATURAMENTO_DEMANDA"/>
    <tableColumn id="71" xr3:uid="{570A1C2F-6E21-40CF-AB15-D90D36713C79}" name="#INCIO_FATURAMENTO_GD"/>
    <tableColumn id="72" xr3:uid="{77B7E464-A346-4013-A650-F2487175B02C}" name="#ACESSANTE_1"/>
    <tableColumn id="73" xr3:uid="{4409A19C-51C4-497D-A89A-B60BB407EDF6}" name="#CARGO_A_1"/>
    <tableColumn id="74" xr3:uid="{36720DED-D65E-4B51-AA21-1FBCDC6751D1}" name="#CPF_A_1"/>
    <tableColumn id="75" xr3:uid="{0C8CE91C-0802-455B-92DB-3CBED25BADBC}" name="#ACESSANTE_2"/>
    <tableColumn id="76" xr3:uid="{7CD7A9FC-2CE1-4564-89A5-CA012714D3A1}" name="#CARGO_A_2"/>
    <tableColumn id="77" xr3:uid="{E311B07D-CAB1-44E6-AEBA-929A6E2098F0}" name="#CPF_A_2"/>
    <tableColumn id="78" xr3:uid="{30B6C41E-9E40-4179-AC68-2C758CD95AFF}" name="#TESTEMUNHA_1"/>
    <tableColumn id="79" xr3:uid="{F360AC9B-234A-4861-90CE-066ABA4C25F1}" name="#CARGO_T_1"/>
    <tableColumn id="80" xr3:uid="{A837A9B0-3F81-489E-AFC2-9011A7130480}" name="#CPF_T_1"/>
    <tableColumn id="81" xr3:uid="{043510C0-817B-4A33-A39A-FD34515488D5}" name="#TESTEMUNHA_2"/>
    <tableColumn id="82" xr3:uid="{3ADA78AF-90A3-46A2-B4CC-8CC093DA4108}" name="#CARGO_T_2"/>
    <tableColumn id="83" xr3:uid="{D14D1583-A516-4D9C-8FAD-17DD8EBCEE4E}" name="#CPF_T_2"/>
    <tableColumn id="84" xr3:uid="{53EBB5EF-C3CD-4F40-A69B-95B960D03A18}" name="#TESTEMUNHA_3"/>
    <tableColumn id="85" xr3:uid="{6C5C6FC1-9AAA-45D0-AAA7-16217021E9D4}" name="#CARGO_T_3"/>
    <tableColumn id="86" xr3:uid="{18F53600-8DF2-4171-B16A-E77DF5D3A426}" name="#CPF_T_3"/>
    <tableColumn id="87" xr3:uid="{104D0763-884D-42D9-A17C-289C9635532C}" name="#NOME_DO_ARQUIVO_GERADO_DOC1"/>
    <tableColumn id="88" xr3:uid="{01950BDB-3AC0-4E38-9E21-203FCCCCEE7D}" name="#TIPO_DE_CONTRATO_DOC1"/>
    <tableColumn id="89" xr3:uid="{824D691B-0028-4D92-A0E3-8E600B836B35}" name="#CARTEIRA"/>
    <tableColumn id="90" xr3:uid="{B88D1A02-54ED-4CF0-83FF-AAEB4DCACFCB}" name="#USUARIO"/>
    <tableColumn id="91" xr3:uid="{02FF281D-26D4-4381-A772-F2CC8DF5A596}" name="#MODELO_DOC1"/>
    <tableColumn id="92" xr3:uid="{1D577C82-2C38-40F9-B1BE-590FD9687457}" name="#MODELO_DOC2"/>
    <tableColumn id="93" xr3:uid="{461CAFD4-B8F9-422D-AB1A-29A5EA2527CB}" name="#MODELO_DOC3"/>
    <tableColumn id="94" xr3:uid="{FBA64E82-73AA-40AE-A43C-1512CE86DCC3}" name="#NOME_DO_ARQUIVO_GERADO_DOC2"/>
    <tableColumn id="95" xr3:uid="{C58211F8-D1A7-4D6E-9D36-A1B0B3CB1604}" name="#NOME_DO_ARQUIVO_GERADO_DOC3"/>
    <tableColumn id="96" xr3:uid="{60B7D939-313D-4470-A5CD-8FD763211512}" name="STATUS_DOC1"/>
    <tableColumn id="97" xr3:uid="{E7772F8E-E43A-451B-9BAD-C6EEA879973E}" name="STATUS_DOC2"/>
    <tableColumn id="98" xr3:uid="{925ABDF4-F43D-426A-B466-C8C376D94564}" name="STATUS_DOC3"/>
    <tableColumn id="99" xr3:uid="{26EB25F0-0615-4206-B32D-6EDD6C5CDA90}" name="Data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67F522-E901-4F85-87E4-0BD7DECDE265}" name="Tabela14" displayName="Tabela14" ref="A1:C2" totalsRowShown="0">
  <autoFilter ref="A1:C2" xr:uid="{BC67F522-E901-4F85-87E4-0BD7DECDE265}"/>
  <tableColumns count="3">
    <tableColumn id="1" xr3:uid="{C9C81502-0987-46B6-93B3-D8100A333035}" name="Matricula"/>
    <tableColumn id="2" xr3:uid="{4E521FDD-F756-4C13-8ADD-E1132D98D8D9}" name="Nome "/>
    <tableColumn id="3" xr3:uid="{AED29423-2A60-45E6-8724-BF38FA5DC69B}" name="Cod_Acess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6155645-4371-401F-8346-98EEB9AB760A}" name="Tabela5" displayName="Tabela5" ref="A1:B5" totalsRowShown="0">
  <autoFilter ref="A1:B5" xr:uid="{D6155645-4371-401F-8346-98EEB9AB760A}"/>
  <tableColumns count="2">
    <tableColumn id="1" xr3:uid="{C64EACCA-A3C7-44C0-BF7F-4A4B5307BF4E}" name="ID">
      <calculatedColumnFormula>ROW()</calculatedColumnFormula>
    </tableColumn>
    <tableColumn id="2" xr3:uid="{9842529D-C529-48C8-BA97-25211539E278}" name="TIPO_CONTRAT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E78240-8E14-4860-9905-F8B18EE176A1}" name="Tabela57" displayName="Tabela57" ref="D1:F33" totalsRowShown="0">
  <autoFilter ref="D1:F33" xr:uid="{70E78240-8E14-4860-9905-F8B18EE176A1}"/>
  <tableColumns count="3">
    <tableColumn id="1" xr3:uid="{08E0B57C-C665-4EC8-A017-61F9BB9788D7}" name="ID">
      <calculatedColumnFormula>ROW()</calculatedColumnFormula>
    </tableColumn>
    <tableColumn id="2" xr3:uid="{D183FF19-D268-4F1E-951D-55EF54DD3AC8}" name="CARTEIRA"/>
    <tableColumn id="6" xr3:uid="{C136D3DE-A351-4187-8648-629751647EF7}" name="SIG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DA7020-5A60-4F3E-90DE-AE79848375E7}" name="Tabela3" displayName="Tabela3" ref="H1:H6" totalsRowShown="0">
  <autoFilter ref="H1:H6" xr:uid="{DFDA7020-5A60-4F3E-90DE-AE79848375E7}"/>
  <tableColumns count="1">
    <tableColumn id="1" xr3:uid="{A234E54B-C8C9-4CD2-81ED-E363DF2C9175}" name="TIPO DE ACESSAN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149286-F42F-4285-AE9A-9B3DEC66707E}" name="Tabela7" displayName="Tabela7" ref="J1:M615" totalsRowShown="0">
  <autoFilter ref="J1:M615" xr:uid="{B5149286-F42F-4285-AE9A-9B3DEC66707E}"/>
  <tableColumns count="4">
    <tableColumn id="1" xr3:uid="{0C6530B2-BAD1-4516-8EF4-A6BD0B738917}" name="LOCALIDADE"/>
    <tableColumn id="2" xr3:uid="{EEE0573E-98A1-4C28-8BE1-4279475AF130}" name="CIDADE"/>
    <tableColumn id="3" xr3:uid="{ED72D7C9-51C3-4A92-8A6E-8B841D235444}" name=" REGIONAL "/>
    <tableColumn id="4" xr3:uid="{84365246-7281-41D0-9B0E-371BCCCE2D2C}" name="SUPERINTENDENCI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D0D7427-E310-411E-8CE0-2DFDAAE4EAA1}" name="Tabela8" displayName="Tabela8" ref="O1:O8" totalsRowShown="0">
  <autoFilter ref="O1:O8" xr:uid="{5D0D7427-E310-411E-8CE0-2DFDAAE4EAA1}"/>
  <tableColumns count="1">
    <tableColumn id="1" xr3:uid="{064361DA-3AEC-40F7-A3FB-F7CE75A78328}" name="CLASSE DE CONSUM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2F4B368-EE61-4E68-BFFF-AA9AB6CF6D5B}" name="Tabela9" displayName="Tabela9" ref="Q1:Q6" totalsRowShown="0">
  <autoFilter ref="Q1:Q6" xr:uid="{22F4B368-EE61-4E68-BFFF-AA9AB6CF6D5B}"/>
  <tableColumns count="1">
    <tableColumn id="1" xr3:uid="{37D54E91-6432-4BA8-AA4E-E1A422EB2CE3}" name="Modalidade Tarifári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2D02E54-BED6-4A7B-8F0C-525A42CCDBF9}" name="Tabela10" displayName="Tabela10" ref="S1:T6" totalsRowShown="0">
  <autoFilter ref="S1:T6" xr:uid="{A2D02E54-BED6-4A7B-8F0C-525A42CCDBF9}"/>
  <tableColumns count="2">
    <tableColumn id="1" xr3:uid="{E8EF9F02-7B40-4849-911B-C94B25DC9F86}" name="Tensao nominal"/>
    <tableColumn id="2" xr3:uid="{58CC468C-1E49-4C9A-B876-8B26C8253AF7}" name="Subgrupo tarifari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62E03E-E731-495F-8EAA-DC8EA5F7321B}" name="Tabela11" displayName="Tabela11" ref="V1:V5" totalsRowShown="0">
  <autoFilter ref="V1:V5" xr:uid="{5162E03E-E731-495F-8EAA-DC8EA5F7321B}"/>
  <tableColumns count="1">
    <tableColumn id="1" xr3:uid="{B0CD4BD7-3CCA-454F-A3B4-4D65B6910AE1}" name="Formas de execuçã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E29FBEB-8752-4F24-B259-5313A342E4F3}" name="Tabela12" displayName="Tabela12" ref="X1:X4" totalsRowShown="0">
  <autoFilter ref="X1:X4" xr:uid="{FE29FBEB-8752-4F24-B259-5313A342E4F3}"/>
  <tableColumns count="1">
    <tableColumn id="1" xr3:uid="{0FE9D41A-75C5-41CE-B744-1071BE10256A}" name="Deseja receber o emai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B391CB-B208-407A-8F1C-94EBE9497A62}" name="Tabela4" displayName="Tabela4" ref="Z1:Z3" totalsRowShown="0">
  <autoFilter ref="Z1:Z3" xr:uid="{B6B391CB-B208-407A-8F1C-94EBE9497A62}"/>
  <tableColumns count="1">
    <tableColumn id="1" xr3:uid="{586B4E82-08AC-401A-AA3E-C66BEFDFDE4A}" name="Dispensa/inexibilida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4FD923-6004-4B28-A2C5-21C019040282}" name="TB_MODELOS_WORD" displayName="TB_MODELOS_WORD" ref="A1:C7" totalsRowShown="0" headerRowDxfId="4" dataDxfId="3">
  <autoFilter ref="A1:C7" xr:uid="{FC4FD923-6004-4B28-A2C5-21C019040282}"/>
  <tableColumns count="3">
    <tableColumn id="1" xr3:uid="{D5B0358B-A8A6-4896-815A-69EE057F9B1D}" name="ID" dataDxfId="2">
      <calculatedColumnFormula>ROW()</calculatedColumnFormula>
    </tableColumn>
    <tableColumn id="2" xr3:uid="{C2A7F327-B065-410D-B096-DBFE7FF5F94D}" name="MODELO DE WORD" dataDxfId="1"/>
    <tableColumn id="3" xr3:uid="{72CCF667-8690-46F2-A9F0-928488D113D1}" name="SIGL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" dT="2025-07-01T17:59:21.73" personId="{139A44F1-01E8-4C66-A99B-58A9EDF5B129}" id="{E817E985-3F06-4E30-8484-093B94B30056}">
    <text>TENSAO NOMINAL E CONTRATADA KV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03FBB-FFDB-4D58-9CF9-3A8099AFF9B4}">
  <sheetPr codeName="Planilha3"/>
  <dimension ref="A1:S36"/>
  <sheetViews>
    <sheetView showGridLines="0" tabSelected="1" topLeftCell="F1" workbookViewId="0">
      <selection activeCell="L8" sqref="L8"/>
    </sheetView>
  </sheetViews>
  <sheetFormatPr defaultColWidth="0" defaultRowHeight="15" zeroHeight="1" x14ac:dyDescent="0.25"/>
  <cols>
    <col min="1" max="15" width="9.140625" customWidth="1"/>
    <col min="16" max="16" width="16.28515625" customWidth="1"/>
    <col min="17" max="19" width="9.140625" customWidth="1"/>
    <col min="20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D9AB2-3121-4006-BA08-C0F336FD459E}">
  <sheetPr codeName="Planilha10"/>
  <dimension ref="A1:CU2"/>
  <sheetViews>
    <sheetView zoomScaleNormal="100" workbookViewId="0">
      <selection activeCell="CS10" sqref="CS10"/>
    </sheetView>
  </sheetViews>
  <sheetFormatPr defaultColWidth="25.5703125" defaultRowHeight="15" outlineLevelCol="1" x14ac:dyDescent="0.25"/>
  <cols>
    <col min="1" max="1" width="12.5703125" bestFit="1" customWidth="1"/>
    <col min="2" max="2" width="14.7109375" customWidth="1"/>
    <col min="3" max="3" width="20.140625" bestFit="1" customWidth="1"/>
    <col min="4" max="4" width="32.85546875" hidden="1" customWidth="1" outlineLevel="1"/>
    <col min="5" max="5" width="17.5703125" hidden="1" customWidth="1" outlineLevel="1"/>
    <col min="6" max="6" width="18.140625" hidden="1" customWidth="1" outlineLevel="1"/>
    <col min="7" max="7" width="13" hidden="1" customWidth="1" outlineLevel="1"/>
    <col min="8" max="8" width="28.28515625" hidden="1" customWidth="1" outlineLevel="1"/>
    <col min="9" max="9" width="42.5703125" hidden="1" customWidth="1" outlineLevel="1"/>
    <col min="10" max="10" width="17.5703125" hidden="1" customWidth="1" outlineLevel="1"/>
    <col min="11" max="11" width="25.5703125" hidden="1" customWidth="1" outlineLevel="1"/>
    <col min="12" max="12" width="22.5703125" hidden="1" customWidth="1" outlineLevel="1"/>
    <col min="13" max="13" width="23.140625" hidden="1" customWidth="1" outlineLevel="1"/>
    <col min="14" max="14" width="21.28515625" hidden="1" customWidth="1" outlineLevel="1"/>
    <col min="15" max="15" width="38.85546875" hidden="1" customWidth="1" outlineLevel="1"/>
    <col min="16" max="16" width="28.140625" hidden="1" customWidth="1" outlineLevel="1"/>
    <col min="17" max="17" width="23.140625" hidden="1" customWidth="1" outlineLevel="1"/>
    <col min="18" max="18" width="25" hidden="1" customWidth="1" outlineLevel="1"/>
    <col min="19" max="19" width="25.28515625" hidden="1" customWidth="1" outlineLevel="1"/>
    <col min="20" max="20" width="29.5703125" hidden="1" customWidth="1" outlineLevel="1"/>
    <col min="21" max="21" width="29" hidden="1" customWidth="1" outlineLevel="1"/>
    <col min="22" max="22" width="24" hidden="1" customWidth="1" outlineLevel="1"/>
    <col min="23" max="25" width="28.140625" hidden="1" customWidth="1" outlineLevel="1"/>
    <col min="26" max="26" width="34.140625" hidden="1" customWidth="1" outlineLevel="1"/>
    <col min="27" max="27" width="23.28515625" hidden="1" customWidth="1" outlineLevel="1"/>
    <col min="28" max="28" width="26.42578125" hidden="1" customWidth="1" outlineLevel="1"/>
    <col min="29" max="29" width="24.28515625" hidden="1" customWidth="1" outlineLevel="1"/>
    <col min="30" max="30" width="36.5703125" hidden="1" customWidth="1" outlineLevel="1"/>
    <col min="31" max="31" width="23.7109375" hidden="1" customWidth="1" outlineLevel="1"/>
    <col min="32" max="32" width="10.5703125" hidden="1" customWidth="1" outlineLevel="1"/>
    <col min="33" max="33" width="16.5703125" hidden="1" customWidth="1" outlineLevel="1"/>
    <col min="34" max="34" width="26.85546875" hidden="1" customWidth="1" outlineLevel="1"/>
    <col min="35" max="35" width="54.5703125" hidden="1" customWidth="1" outlineLevel="1"/>
    <col min="36" max="36" width="59" hidden="1" customWidth="1" outlineLevel="1"/>
    <col min="37" max="37" width="52.7109375" hidden="1" customWidth="1" outlineLevel="1"/>
    <col min="38" max="41" width="37.28515625" hidden="1" customWidth="1" outlineLevel="1"/>
    <col min="42" max="51" width="46.85546875" hidden="1" customWidth="1" outlineLevel="1"/>
    <col min="52" max="52" width="23.7109375" hidden="1" customWidth="1" outlineLevel="1"/>
    <col min="53" max="53" width="17.42578125" hidden="1" customWidth="1" outlineLevel="1"/>
    <col min="54" max="54" width="21.85546875" hidden="1" customWidth="1" outlineLevel="1"/>
    <col min="55" max="55" width="19.5703125" hidden="1" customWidth="1" outlineLevel="1"/>
    <col min="56" max="56" width="13.28515625" hidden="1" customWidth="1" outlineLevel="1"/>
    <col min="57" max="58" width="14.28515625" hidden="1" customWidth="1" outlineLevel="1"/>
    <col min="59" max="59" width="43.28515625" hidden="1" customWidth="1" outlineLevel="1"/>
    <col min="60" max="60" width="45" hidden="1" customWidth="1" outlineLevel="1"/>
    <col min="61" max="61" width="66.140625" hidden="1" customWidth="1" outlineLevel="1"/>
    <col min="62" max="62" width="21" hidden="1" customWidth="1" outlineLevel="1"/>
    <col min="63" max="63" width="26.5703125" hidden="1" customWidth="1" outlineLevel="1"/>
    <col min="64" max="64" width="37.140625" hidden="1" customWidth="1" outlineLevel="1"/>
    <col min="65" max="65" width="24.28515625" hidden="1" customWidth="1" outlineLevel="1"/>
    <col min="66" max="66" width="37" hidden="1" customWidth="1" outlineLevel="1"/>
    <col min="67" max="67" width="24.140625" hidden="1" customWidth="1" outlineLevel="1"/>
    <col min="68" max="68" width="38.42578125" hidden="1" customWidth="1" outlineLevel="1"/>
    <col min="69" max="69" width="30.85546875" hidden="1" customWidth="1" outlineLevel="1"/>
    <col min="70" max="70" width="37" hidden="1" customWidth="1" outlineLevel="1"/>
    <col min="71" max="71" width="30.85546875" hidden="1" customWidth="1" outlineLevel="1"/>
    <col min="72" max="72" width="16.5703125" hidden="1" customWidth="1" outlineLevel="1"/>
    <col min="73" max="73" width="15" hidden="1" customWidth="1" outlineLevel="1"/>
    <col min="74" max="74" width="11.85546875" hidden="1" customWidth="1" outlineLevel="1"/>
    <col min="75" max="75" width="16.5703125" hidden="1" customWidth="1" outlineLevel="1"/>
    <col min="76" max="76" width="15" hidden="1" customWidth="1" outlineLevel="1"/>
    <col min="77" max="77" width="11.85546875" hidden="1" customWidth="1" outlineLevel="1"/>
    <col min="78" max="78" width="18.7109375" hidden="1" customWidth="1" outlineLevel="1"/>
    <col min="79" max="79" width="14.7109375" hidden="1" customWidth="1" outlineLevel="1"/>
    <col min="80" max="80" width="11.5703125" hidden="1" customWidth="1" outlineLevel="1"/>
    <col min="81" max="81" width="18.7109375" hidden="1" customWidth="1" outlineLevel="1"/>
    <col min="82" max="82" width="14.7109375" hidden="1" customWidth="1" outlineLevel="1"/>
    <col min="83" max="83" width="11.5703125" hidden="1" customWidth="1" outlineLevel="1"/>
    <col min="84" max="84" width="18.7109375" hidden="1" customWidth="1" outlineLevel="1"/>
    <col min="85" max="85" width="14.7109375" hidden="1" customWidth="1" outlineLevel="1"/>
    <col min="86" max="86" width="11.5703125" hidden="1" customWidth="1" outlineLevel="1"/>
    <col min="87" max="87" width="72.85546875" hidden="1" customWidth="1" outlineLevel="1"/>
    <col min="88" max="88" width="31.28515625" hidden="1" customWidth="1" outlineLevel="1"/>
    <col min="89" max="90" width="20.5703125" hidden="1" customWidth="1" outlineLevel="1"/>
    <col min="91" max="93" width="44.7109375" hidden="1" customWidth="1" outlineLevel="1"/>
    <col min="94" max="94" width="72" hidden="1" customWidth="1" outlineLevel="1"/>
    <col min="95" max="95" width="71.140625" hidden="1" customWidth="1" outlineLevel="1"/>
    <col min="96" max="96" width="24.42578125" customWidth="1" collapsed="1"/>
    <col min="99" max="99" width="18.140625" customWidth="1"/>
    <col min="100" max="100" width="2.140625" customWidth="1"/>
    <col min="101" max="101" width="19.85546875" customWidth="1"/>
    <col min="102" max="102" width="2.140625" customWidth="1"/>
    <col min="103" max="103" width="19.5703125" customWidth="1"/>
  </cols>
  <sheetData>
    <row r="1" spans="1:99" s="2" customFormat="1" ht="75.75" customHeight="1" x14ac:dyDescent="0.25">
      <c r="A1" s="23" t="s">
        <v>842</v>
      </c>
      <c r="B1" s="2" t="s">
        <v>766</v>
      </c>
      <c r="C1" s="2" t="s">
        <v>767</v>
      </c>
      <c r="D1" s="2" t="s">
        <v>765</v>
      </c>
      <c r="E1" s="2" t="s">
        <v>764</v>
      </c>
      <c r="F1" s="2" t="s">
        <v>70</v>
      </c>
      <c r="G1" s="2" t="s">
        <v>71</v>
      </c>
      <c r="H1" s="14" t="s">
        <v>796</v>
      </c>
      <c r="I1" s="14" t="s">
        <v>797</v>
      </c>
      <c r="J1" s="5" t="s">
        <v>769</v>
      </c>
      <c r="K1" s="5" t="s">
        <v>101</v>
      </c>
      <c r="L1" s="15" t="s">
        <v>84</v>
      </c>
      <c r="M1" s="15" t="s">
        <v>768</v>
      </c>
      <c r="N1" s="15" t="s">
        <v>100</v>
      </c>
      <c r="O1" s="26" t="s">
        <v>85</v>
      </c>
      <c r="P1" s="2" t="s">
        <v>86</v>
      </c>
      <c r="Q1" s="7" t="s">
        <v>87</v>
      </c>
      <c r="R1" s="7" t="s">
        <v>95</v>
      </c>
      <c r="S1" s="13" t="s">
        <v>112</v>
      </c>
      <c r="T1" s="2" t="s">
        <v>103</v>
      </c>
      <c r="U1" s="8" t="s">
        <v>107</v>
      </c>
      <c r="V1" s="8" t="s">
        <v>108</v>
      </c>
      <c r="W1" s="8" t="s">
        <v>773</v>
      </c>
      <c r="X1" s="24" t="s">
        <v>780</v>
      </c>
      <c r="Y1" s="2" t="s">
        <v>800</v>
      </c>
      <c r="Z1" s="2" t="s">
        <v>836</v>
      </c>
      <c r="AA1" s="2" t="s">
        <v>770</v>
      </c>
      <c r="AB1" s="25" t="s">
        <v>104</v>
      </c>
      <c r="AC1" s="2" t="s">
        <v>105</v>
      </c>
      <c r="AD1" s="2" t="s">
        <v>771</v>
      </c>
      <c r="AE1" s="2" t="s">
        <v>830</v>
      </c>
      <c r="AF1" s="2" t="s">
        <v>772</v>
      </c>
      <c r="AG1" s="2" t="s">
        <v>106</v>
      </c>
      <c r="AH1" s="2" t="s">
        <v>109</v>
      </c>
      <c r="AI1" s="2" t="s">
        <v>774</v>
      </c>
      <c r="AJ1" s="2" t="s">
        <v>110</v>
      </c>
      <c r="AK1" s="2" t="s">
        <v>775</v>
      </c>
      <c r="AL1" s="9" t="s">
        <v>776</v>
      </c>
      <c r="AM1" s="16" t="s">
        <v>801</v>
      </c>
      <c r="AN1" s="16" t="s">
        <v>802</v>
      </c>
      <c r="AO1" s="16" t="s">
        <v>803</v>
      </c>
      <c r="AP1" s="6" t="s">
        <v>111</v>
      </c>
      <c r="AQ1" s="18" t="s">
        <v>804</v>
      </c>
      <c r="AR1" s="18" t="s">
        <v>805</v>
      </c>
      <c r="AS1" s="18" t="s">
        <v>806</v>
      </c>
      <c r="AT1" s="29" t="s">
        <v>807</v>
      </c>
      <c r="AU1" s="19" t="s">
        <v>808</v>
      </c>
      <c r="AV1" s="19" t="s">
        <v>809</v>
      </c>
      <c r="AW1" s="19" t="s">
        <v>810</v>
      </c>
      <c r="AX1" s="19" t="s">
        <v>811</v>
      </c>
      <c r="AY1" s="20" t="s">
        <v>812</v>
      </c>
      <c r="AZ1" s="2" t="s">
        <v>778</v>
      </c>
      <c r="BA1" s="26" t="s">
        <v>779</v>
      </c>
      <c r="BB1" s="13" t="s">
        <v>783</v>
      </c>
      <c r="BC1" s="13" t="s">
        <v>782</v>
      </c>
      <c r="BD1" s="13" t="s">
        <v>113</v>
      </c>
      <c r="BE1" s="13" t="s">
        <v>114</v>
      </c>
      <c r="BF1" s="13" t="s">
        <v>115</v>
      </c>
      <c r="BG1" s="13" t="s">
        <v>116</v>
      </c>
      <c r="BH1" s="21" t="s">
        <v>795</v>
      </c>
      <c r="BI1" s="2" t="s">
        <v>777</v>
      </c>
      <c r="BJ1" s="13" t="s">
        <v>781</v>
      </c>
      <c r="BK1" s="2" t="s">
        <v>102</v>
      </c>
      <c r="BL1" s="13" t="s">
        <v>117</v>
      </c>
      <c r="BM1" s="13" t="s">
        <v>118</v>
      </c>
      <c r="BN1" s="13" t="s">
        <v>784</v>
      </c>
      <c r="BO1" s="13" t="s">
        <v>785</v>
      </c>
      <c r="BP1" s="13" t="s">
        <v>119</v>
      </c>
      <c r="BQ1" s="13" t="s">
        <v>120</v>
      </c>
      <c r="BR1" s="2" t="s">
        <v>793</v>
      </c>
      <c r="BS1" s="8" t="s">
        <v>794</v>
      </c>
      <c r="BT1" s="10" t="s">
        <v>121</v>
      </c>
      <c r="BU1" s="10" t="s">
        <v>126</v>
      </c>
      <c r="BV1" s="10" t="s">
        <v>127</v>
      </c>
      <c r="BW1" s="10" t="s">
        <v>122</v>
      </c>
      <c r="BX1" s="10" t="s">
        <v>128</v>
      </c>
      <c r="BY1" s="10" t="s">
        <v>129</v>
      </c>
      <c r="BZ1" s="10" t="s">
        <v>837</v>
      </c>
      <c r="CA1" s="10" t="s">
        <v>838</v>
      </c>
      <c r="CB1" s="10" t="s">
        <v>839</v>
      </c>
      <c r="CC1" s="11" t="s">
        <v>123</v>
      </c>
      <c r="CD1" s="11" t="s">
        <v>132</v>
      </c>
      <c r="CE1" s="11" t="s">
        <v>133</v>
      </c>
      <c r="CF1" s="11" t="s">
        <v>124</v>
      </c>
      <c r="CG1" s="11" t="s">
        <v>134</v>
      </c>
      <c r="CH1" s="11" t="s">
        <v>135</v>
      </c>
      <c r="CI1" s="12" t="s">
        <v>815</v>
      </c>
      <c r="CJ1" s="7" t="s">
        <v>822</v>
      </c>
      <c r="CK1" s="7" t="s">
        <v>5</v>
      </c>
      <c r="CL1" s="2" t="s">
        <v>792</v>
      </c>
      <c r="CM1" s="22" t="s">
        <v>786</v>
      </c>
      <c r="CN1" s="22" t="s">
        <v>787</v>
      </c>
      <c r="CO1" s="22" t="s">
        <v>788</v>
      </c>
      <c r="CP1" s="12" t="s">
        <v>816</v>
      </c>
      <c r="CQ1" s="12" t="s">
        <v>817</v>
      </c>
      <c r="CR1" s="23" t="s">
        <v>789</v>
      </c>
      <c r="CS1" s="23" t="s">
        <v>790</v>
      </c>
      <c r="CT1" s="23" t="s">
        <v>791</v>
      </c>
      <c r="CU1" s="2" t="s">
        <v>828</v>
      </c>
    </row>
    <row r="2" spans="1:99" hidden="1" x14ac:dyDescent="0.25">
      <c r="A2" s="1" t="str">
        <f>CONCATENATE(_xlfn.XLOOKUP(Tabela15[[#This Row],['#CARTEIRA]],BD!E:E,BD!F:F,"ID",0,),"_",ROW())</f>
        <v>_2</v>
      </c>
      <c r="B2" s="1" t="s">
        <v>840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>
        <v>13.8</v>
      </c>
      <c r="P2" s="1"/>
      <c r="Q2" s="1"/>
      <c r="R2" s="1"/>
      <c r="S2" s="1" t="str">
        <f>IF(Tabela15[[#This Row],['#TENSAO_NOMINAL_CONTRATADA_KV]]=13.8,"A4",IF(Tabela15[[#This Row],['#TENSAO_NOMINAL_CONTRATADA_KV]]=34.5,"A3-A",IF(Tabela15[[#This Row],['#TENSAO_NOMINAL_CONTRATADA_KV]]=69,"A3",IF(Tabela15[[#This Row],['#TENSAO_NOMINAL_CONTRATADA_KV]]=138,"A2","Valor inválido"))))</f>
        <v>A4</v>
      </c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7"/>
      <c r="AN2" s="17"/>
      <c r="AO2" s="17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27" t="str">
        <f ca="1">TEXT(Tabela15[[#This Row],['#Data_de_EMISSAO]]+10,"dd/mm/aaaa")</f>
        <v>24/07/2025</v>
      </c>
      <c r="BC2" s="1" t="str">
        <f ca="1">IFERROR(TEXT(Tabela15[[#This Row],['#INICIO_DAS_OBRAS]]+Tabela15[[#This Row],['#PRAZO_OBRAS]],"dd/mm/aaaa"),"N/A")</f>
        <v>24/07/2025</v>
      </c>
      <c r="BD2" s="1" t="str">
        <f>IFERROR(IF(Tabela15[[#This Row],['#PRAZO_OBRAS]]*1&lt;=60,"X"," ")," ")</f>
        <v>X</v>
      </c>
      <c r="BE2" s="1" t="str">
        <f>IFERROR(IF(AND(Tabela15[[#This Row],['#PRAZO_OBRAS]]*1&gt;60,Tabela15[[#This Row],['#PRAZO_OBRAS]]*1&lt;=120),"X","  "),"")</f>
        <v xml:space="preserve">  </v>
      </c>
      <c r="BF2" s="1" t="str">
        <f>IFERROR(IF(AND(Tabela15[[#This Row],['#PRAZO_OBRAS]]*1&gt;120,Tabela15[[#This Row],['#PRAZO_OBRAS]]*1&lt;=365),"X","  "),"")</f>
        <v xml:space="preserve">  </v>
      </c>
      <c r="BG2" s="1" t="str">
        <f>IFERROR(IF(AND(Tabela15[[#This Row],['#PRAZO_OBRAS]]*1&gt;120,Tabela15[[#This Row],['#PRAZO_OBRAS]]*1&gt;365),"X","  "),"")</f>
        <v xml:space="preserve">  </v>
      </c>
      <c r="BH2" s="1"/>
      <c r="BI2" s="1"/>
      <c r="BJ2" s="27" t="str">
        <f ca="1">TEXT(TODAY(),"DD/MMMMMM/AAAA")</f>
        <v>14/julho/2025</v>
      </c>
      <c r="BK2" s="1"/>
      <c r="BL2" s="1" t="str">
        <f>IF(Tabela15[[#This Row],['#FORMA_DE_EXECUÇÃO_DAS_OBRAS]]="A",Tabela15[[#This Row],['#NUM_CONTRATO]],"N/A")</f>
        <v>N/A</v>
      </c>
      <c r="BM2" s="1" t="str">
        <f>IF(Tabela15[[#This Row],['#FORMA_DE_EXECUÇÃO_DAS_OBRAS]]="A",Tabela15[[#This Row],['#INICIO_DAS_OBRAS]],"N/A")</f>
        <v>N/A</v>
      </c>
      <c r="BN2" s="1" t="str">
        <f>IF(Tabela15[[#This Row],['#FORMA_DE_EXECUÇÃO_DAS_OBRAS]]="B",Tabela15[[#This Row],['#NUM_CONTRATO]],"N/A")</f>
        <v>N/A</v>
      </c>
      <c r="BO2" s="1" t="str">
        <f>IF(Tabela15[[#This Row],['#FORMA_DE_EXECUÇÃO_DAS_OBRAS]]="B",Tabela15[[#This Row],['#INICIO_DAS_OBRAS]],"N/A")</f>
        <v>N/A</v>
      </c>
      <c r="BP2" s="1" t="str">
        <f>IF(Tabela15[[#This Row],['#FORMA_DE_EXECUÇÃO_DAS_OBRAS]]="C",Tabela15[[#This Row],['#NUM_CONTRATO]],"N/A")</f>
        <v>N/A</v>
      </c>
      <c r="BQ2" s="1" t="str">
        <f>IF(Tabela15[[#This Row],['#FORMA_DE_EXECUÇÃO_DAS_OBRAS]]="c",Tabela15[[#This Row],['#INICIO_DAS_OBRAS]],"N/A")</f>
        <v>N/A</v>
      </c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 t="str">
        <f>CONCATENATE(Tabela15[[#This Row],['#CODID'#]]," - ",_xlfn.XLOOKUP(Tabela15[[#This Row],['#MODELO_DOC1]],BD_MODELOS!B:B,BD_MODELOS!C:C,"",0,)," - ",Tabela15[[#This Row],['#NUM_CONTRATO]]," - ", Tabela15[[#This Row],['#NOME_CLIENTE]]," - UC ",Tabela15[[#This Row],['#NUM_UC]])</f>
        <v>_2 -  -  -  - UC dsd</v>
      </c>
      <c r="CJ2" s="1"/>
      <c r="CK2" s="1"/>
      <c r="CL2" s="1"/>
      <c r="CM2" s="1"/>
      <c r="CN2" s="1"/>
      <c r="CO2" s="1"/>
      <c r="CP2" s="1" t="str">
        <f>CONCATENATE(Tabela15[[#This Row],['#CODID'#]]," - ",_xlfn.XLOOKUP(Tabela15[[#This Row],['#MODELO_DOC2]],BD_MODELOS!B:B,BD_MODELOS!C:C,"",0,)," - ",Tabela15[[#This Row],['#NUM_CONTRATO]]," - ", Tabela15[[#This Row],['#NOME_CLIENTE]]," - UC ",Tabela15[[#This Row],['#NUM_UC]])</f>
        <v>_2 -  -  -  - UC dsd</v>
      </c>
      <c r="CQ2" s="1" t="str">
        <f>CONCATENATE(Tabela15[[#This Row],['#CODID'#]]," - ",_xlfn.XLOOKUP(Tabela15[[#This Row],['#MODELO_DOC3]],BD_MODELOS!B:B,BD_MODELOS!C:C,"",0,)," - ",Tabela15[[#This Row],['#NUM_CONTRATO]]," - ", Tabela15[[#This Row],['#NOME_CLIENTE]]," - UC ",Tabela15[[#This Row],['#NUM_UC]])</f>
        <v>_2 -  -  -  - UC dsd</v>
      </c>
      <c r="CR2" s="1" t="s">
        <v>69</v>
      </c>
      <c r="CS2" s="1" t="s">
        <v>69</v>
      </c>
      <c r="CT2" s="1" t="s">
        <v>69</v>
      </c>
      <c r="CU2" s="27">
        <f ca="1">NOW()</f>
        <v>45852.367500115739</v>
      </c>
    </row>
  </sheetData>
  <phoneticPr fontId="1" type="noConversion"/>
  <dataValidations count="1">
    <dataValidation type="list" allowBlank="1" showInputMessage="1" showErrorMessage="1" sqref="H2" xr:uid="{A689A11F-35B7-48DB-8B87-BEF771CA61DA}">
      <formula1>"SIM,NAO"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974B6D0-8EEA-4DC4-8F7B-B8E1460DE69E}">
          <x14:formula1>
            <xm:f>BD!$J$2:$J$615</xm:f>
          </x14:formula1>
          <xm:sqref>M2</xm:sqref>
        </x14:dataValidation>
        <x14:dataValidation type="list" allowBlank="1" showInputMessage="1" showErrorMessage="1" xr:uid="{DAA5E385-1503-4FD2-976F-9396C4657E81}">
          <x14:formula1>
            <xm:f>BD!$B$2:$B$12</xm:f>
          </x14:formula1>
          <xm:sqref>CJ2</xm:sqref>
        </x14:dataValidation>
        <x14:dataValidation type="list" allowBlank="1" showInputMessage="1" showErrorMessage="1" xr:uid="{70C9BBD3-ED38-412D-B9D3-B8CC63F573DA}">
          <x14:formula1>
            <xm:f>BD!$E$2:$E$33</xm:f>
          </x14:formula1>
          <xm:sqref>CK2</xm:sqref>
        </x14:dataValidation>
        <x14:dataValidation type="list" allowBlank="1" showInputMessage="1" showErrorMessage="1" xr:uid="{B57340F1-1E8F-42D7-A51C-7F1E3ECCD419}">
          <x14:formula1>
            <xm:f>BD!$H$2:$H$6</xm:f>
          </x14:formula1>
          <xm:sqref>Q2</xm:sqref>
        </x14:dataValidation>
        <x14:dataValidation type="list" allowBlank="1" showInputMessage="1" showErrorMessage="1" xr:uid="{3920BAC6-C982-4A31-A9D6-6036A13D5B76}">
          <x14:formula1>
            <xm:f>BD!$O$2:$O$8</xm:f>
          </x14:formula1>
          <xm:sqref>R2</xm:sqref>
        </x14:dataValidation>
        <x14:dataValidation type="list" allowBlank="1" showInputMessage="1" showErrorMessage="1" xr:uid="{90907CD2-8CE0-4E47-9400-BEEC6FFF3921}">
          <x14:formula1>
            <xm:f>BD!$V$2:$V$8</xm:f>
          </x14:formula1>
          <xm:sqref>AL2</xm:sqref>
        </x14:dataValidation>
        <x14:dataValidation type="list" allowBlank="1" showInputMessage="1" showErrorMessage="1" xr:uid="{71C1CE49-6937-481A-AC8B-6C691A148A40}">
          <x14:formula1>
            <xm:f>BD!$Q$2:$Q$10</xm:f>
          </x14:formula1>
          <xm:sqref>AB2</xm:sqref>
        </x14:dataValidation>
        <x14:dataValidation type="list" allowBlank="1" showInputMessage="1" showErrorMessage="1" xr:uid="{AB6CCBD3-925F-4109-96C3-D5259756819D}">
          <x14:formula1>
            <xm:f>BD!$Z$2:$Z$3</xm:f>
          </x14:formula1>
          <xm:sqref>AT2</xm:sqref>
        </x14:dataValidation>
        <x14:dataValidation type="list" allowBlank="1" showInputMessage="1" showErrorMessage="1" xr:uid="{2A23A7EA-3E31-42E4-BFCF-D401582A8369}">
          <x14:formula1>
            <xm:f>BD_MODELOS!$B$2:$B$1048576</xm:f>
          </x14:formula1>
          <xm:sqref>CM2:CO2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A81F2-64C5-4919-8B7E-88AD1EFFCB47}">
  <sheetPr codeName="Planilha2"/>
  <dimension ref="A1:CU2"/>
  <sheetViews>
    <sheetView workbookViewId="0">
      <selection activeCell="D23" sqref="D23"/>
    </sheetView>
  </sheetViews>
  <sheetFormatPr defaultColWidth="10.140625" defaultRowHeight="15" x14ac:dyDescent="0.25"/>
  <cols>
    <col min="1" max="1" width="10" bestFit="1" customWidth="1"/>
    <col min="2" max="2" width="12.5703125" bestFit="1" customWidth="1"/>
    <col min="3" max="3" width="20.140625" bestFit="1" customWidth="1"/>
    <col min="4" max="4" width="32.85546875" bestFit="1" customWidth="1"/>
    <col min="5" max="5" width="17.5703125" bestFit="1" customWidth="1"/>
    <col min="6" max="6" width="31.28515625" bestFit="1" customWidth="1"/>
    <col min="7" max="7" width="13" bestFit="1" customWidth="1"/>
    <col min="8" max="8" width="26" bestFit="1" customWidth="1"/>
    <col min="9" max="9" width="19.140625" bestFit="1" customWidth="1"/>
    <col min="10" max="10" width="17.5703125" bestFit="1" customWidth="1"/>
    <col min="11" max="11" width="13.85546875" bestFit="1" customWidth="1"/>
    <col min="12" max="12" width="13.7109375" bestFit="1" customWidth="1"/>
    <col min="13" max="13" width="23.140625" bestFit="1" customWidth="1"/>
    <col min="14" max="14" width="8" bestFit="1" customWidth="1"/>
    <col min="15" max="15" width="38.85546875" bestFit="1" customWidth="1"/>
    <col min="16" max="16" width="28.140625" bestFit="1" customWidth="1"/>
    <col min="17" max="17" width="23.140625" bestFit="1" customWidth="1"/>
    <col min="18" max="18" width="25" bestFit="1" customWidth="1"/>
    <col min="19" max="19" width="25.28515625" bestFit="1" customWidth="1"/>
    <col min="20" max="20" width="29.5703125" bestFit="1" customWidth="1"/>
    <col min="21" max="21" width="29" bestFit="1" customWidth="1"/>
    <col min="22" max="22" width="24" bestFit="1" customWidth="1"/>
    <col min="23" max="23" width="28.140625" bestFit="1" customWidth="1"/>
    <col min="24" max="24" width="35" bestFit="1" customWidth="1"/>
    <col min="25" max="25" width="27.42578125" bestFit="1" customWidth="1"/>
    <col min="26" max="26" width="35.140625" bestFit="1" customWidth="1"/>
    <col min="27" max="27" width="23.28515625" bestFit="1" customWidth="1"/>
    <col min="28" max="28" width="27.140625" bestFit="1" customWidth="1"/>
    <col min="29" max="29" width="14.28515625" bestFit="1" customWidth="1"/>
    <col min="30" max="30" width="36.5703125" bestFit="1" customWidth="1"/>
    <col min="31" max="31" width="23.42578125" bestFit="1" customWidth="1"/>
    <col min="32" max="32" width="10.5703125" bestFit="1" customWidth="1"/>
    <col min="33" max="33" width="16.5703125" bestFit="1" customWidth="1"/>
    <col min="34" max="34" width="26.85546875" bestFit="1" customWidth="1"/>
    <col min="35" max="35" width="54.5703125" bestFit="1" customWidth="1"/>
    <col min="36" max="36" width="59" bestFit="1" customWidth="1"/>
    <col min="37" max="37" width="39.28515625" customWidth="1"/>
    <col min="38" max="39" width="37.28515625" bestFit="1" customWidth="1"/>
    <col min="40" max="40" width="36.28515625" bestFit="1" customWidth="1"/>
    <col min="41" max="41" width="37.28515625" bestFit="1" customWidth="1"/>
    <col min="42" max="42" width="44.5703125" customWidth="1"/>
    <col min="43" max="43" width="23.140625" bestFit="1" customWidth="1"/>
    <col min="44" max="44" width="33.140625" bestFit="1" customWidth="1"/>
    <col min="45" max="45" width="33.28515625" bestFit="1" customWidth="1"/>
    <col min="46" max="46" width="29.7109375" bestFit="1" customWidth="1"/>
    <col min="47" max="47" width="10.42578125" bestFit="1" customWidth="1"/>
    <col min="48" max="48" width="11.140625" bestFit="1" customWidth="1"/>
    <col min="49" max="49" width="40.42578125" bestFit="1" customWidth="1"/>
    <col min="50" max="50" width="48.7109375" bestFit="1" customWidth="1"/>
    <col min="51" max="51" width="29.85546875" bestFit="1" customWidth="1"/>
    <col min="52" max="52" width="23.7109375" bestFit="1" customWidth="1"/>
    <col min="53" max="53" width="17.42578125" bestFit="1" customWidth="1"/>
    <col min="54" max="54" width="21.85546875" bestFit="1" customWidth="1"/>
    <col min="55" max="55" width="19.5703125" bestFit="1" customWidth="1"/>
    <col min="56" max="56" width="13.28515625" bestFit="1" customWidth="1"/>
    <col min="57" max="58" width="14.28515625" bestFit="1" customWidth="1"/>
    <col min="59" max="59" width="43.28515625" bestFit="1" customWidth="1"/>
    <col min="60" max="60" width="76.85546875" bestFit="1" customWidth="1"/>
    <col min="61" max="61" width="66.140625" bestFit="1" customWidth="1"/>
    <col min="62" max="62" width="21" bestFit="1" customWidth="1"/>
    <col min="63" max="63" width="26.5703125" bestFit="1" customWidth="1"/>
    <col min="64" max="64" width="37.140625" bestFit="1" customWidth="1"/>
    <col min="65" max="65" width="24.28515625" bestFit="1" customWidth="1"/>
    <col min="66" max="66" width="37" bestFit="1" customWidth="1"/>
    <col min="67" max="67" width="24.140625" bestFit="1" customWidth="1"/>
    <col min="68" max="68" width="37" bestFit="1" customWidth="1"/>
    <col min="69" max="69" width="24.140625" bestFit="1" customWidth="1"/>
    <col min="70" max="70" width="36.140625" bestFit="1" customWidth="1"/>
    <col min="71" max="71" width="28.5703125" bestFit="1" customWidth="1"/>
    <col min="72" max="72" width="36" bestFit="1" customWidth="1"/>
    <col min="73" max="73" width="15" bestFit="1" customWidth="1"/>
    <col min="74" max="74" width="14" bestFit="1" customWidth="1"/>
    <col min="75" max="75" width="36" bestFit="1" customWidth="1"/>
    <col min="76" max="76" width="15" bestFit="1" customWidth="1"/>
    <col min="77" max="77" width="14" bestFit="1" customWidth="1"/>
    <col min="78" max="78" width="36" bestFit="1" customWidth="1"/>
    <col min="79" max="79" width="14.7109375" bestFit="1" customWidth="1"/>
    <col min="80" max="80" width="14" bestFit="1" customWidth="1"/>
    <col min="81" max="81" width="36" bestFit="1" customWidth="1"/>
    <col min="82" max="82" width="14.7109375" bestFit="1" customWidth="1"/>
    <col min="83" max="83" width="14" bestFit="1" customWidth="1"/>
    <col min="84" max="84" width="36" bestFit="1" customWidth="1"/>
    <col min="85" max="85" width="14.7109375" bestFit="1" customWidth="1"/>
    <col min="86" max="86" width="14" bestFit="1" customWidth="1"/>
    <col min="87" max="87" width="72.28515625" bestFit="1" customWidth="1"/>
    <col min="88" max="88" width="29" bestFit="1" customWidth="1"/>
    <col min="89" max="89" width="12.85546875" bestFit="1" customWidth="1"/>
    <col min="90" max="90" width="12.5703125" bestFit="1" customWidth="1"/>
    <col min="91" max="92" width="18.140625" bestFit="1" customWidth="1"/>
    <col min="93" max="93" width="44.7109375" bestFit="1" customWidth="1"/>
    <col min="94" max="94" width="72" bestFit="1" customWidth="1"/>
    <col min="95" max="95" width="71.140625" bestFit="1" customWidth="1"/>
    <col min="96" max="98" width="16" bestFit="1" customWidth="1"/>
    <col min="99" max="99" width="15.85546875" bestFit="1" customWidth="1"/>
  </cols>
  <sheetData>
    <row r="1" spans="1:99" x14ac:dyDescent="0.25">
      <c r="A1" t="s">
        <v>829</v>
      </c>
      <c r="B1" t="s">
        <v>766</v>
      </c>
      <c r="C1" t="s">
        <v>767</v>
      </c>
      <c r="D1" t="s">
        <v>765</v>
      </c>
      <c r="E1" t="s">
        <v>764</v>
      </c>
      <c r="F1" t="s">
        <v>70</v>
      </c>
      <c r="G1" t="s">
        <v>71</v>
      </c>
      <c r="H1" t="s">
        <v>796</v>
      </c>
      <c r="I1" t="s">
        <v>797</v>
      </c>
      <c r="J1" t="s">
        <v>769</v>
      </c>
      <c r="K1" t="s">
        <v>101</v>
      </c>
      <c r="L1" t="s">
        <v>84</v>
      </c>
      <c r="M1" t="s">
        <v>768</v>
      </c>
      <c r="N1" t="s">
        <v>100</v>
      </c>
      <c r="O1" t="s">
        <v>85</v>
      </c>
      <c r="P1" t="s">
        <v>86</v>
      </c>
      <c r="Q1" t="s">
        <v>87</v>
      </c>
      <c r="R1" t="s">
        <v>95</v>
      </c>
      <c r="S1" t="s">
        <v>112</v>
      </c>
      <c r="T1" t="s">
        <v>103</v>
      </c>
      <c r="U1" t="s">
        <v>107</v>
      </c>
      <c r="V1" t="s">
        <v>108</v>
      </c>
      <c r="W1" t="s">
        <v>773</v>
      </c>
      <c r="X1" t="s">
        <v>780</v>
      </c>
      <c r="Y1" t="s">
        <v>800</v>
      </c>
      <c r="Z1" t="s">
        <v>799</v>
      </c>
      <c r="AA1" t="s">
        <v>770</v>
      </c>
      <c r="AB1" t="s">
        <v>104</v>
      </c>
      <c r="AC1" t="s">
        <v>105</v>
      </c>
      <c r="AD1" t="s">
        <v>771</v>
      </c>
      <c r="AE1" t="s">
        <v>830</v>
      </c>
      <c r="AF1" t="s">
        <v>772</v>
      </c>
      <c r="AG1" t="s">
        <v>106</v>
      </c>
      <c r="AH1" t="s">
        <v>109</v>
      </c>
      <c r="AI1" t="s">
        <v>774</v>
      </c>
      <c r="AJ1" t="s">
        <v>110</v>
      </c>
      <c r="AK1" t="s">
        <v>775</v>
      </c>
      <c r="AL1" t="s">
        <v>776</v>
      </c>
      <c r="AM1" t="s">
        <v>801</v>
      </c>
      <c r="AN1" t="s">
        <v>802</v>
      </c>
      <c r="AO1" t="s">
        <v>803</v>
      </c>
      <c r="AP1" t="s">
        <v>111</v>
      </c>
      <c r="AQ1" t="s">
        <v>804</v>
      </c>
      <c r="AR1" t="s">
        <v>805</v>
      </c>
      <c r="AS1" t="s">
        <v>806</v>
      </c>
      <c r="AT1" t="s">
        <v>807</v>
      </c>
      <c r="AU1" t="s">
        <v>808</v>
      </c>
      <c r="AV1" t="s">
        <v>809</v>
      </c>
      <c r="AW1" t="s">
        <v>810</v>
      </c>
      <c r="AX1" t="s">
        <v>811</v>
      </c>
      <c r="AY1" t="s">
        <v>812</v>
      </c>
      <c r="AZ1" t="s">
        <v>778</v>
      </c>
      <c r="BA1" t="s">
        <v>779</v>
      </c>
      <c r="BB1" t="s">
        <v>783</v>
      </c>
      <c r="BC1" t="s">
        <v>782</v>
      </c>
      <c r="BD1" t="s">
        <v>113</v>
      </c>
      <c r="BE1" t="s">
        <v>114</v>
      </c>
      <c r="BF1" t="s">
        <v>115</v>
      </c>
      <c r="BG1" t="s">
        <v>116</v>
      </c>
      <c r="BH1" t="s">
        <v>795</v>
      </c>
      <c r="BI1" t="s">
        <v>777</v>
      </c>
      <c r="BJ1" t="s">
        <v>781</v>
      </c>
      <c r="BK1" t="s">
        <v>102</v>
      </c>
      <c r="BL1" t="s">
        <v>117</v>
      </c>
      <c r="BM1" t="s">
        <v>118</v>
      </c>
      <c r="BN1" t="s">
        <v>784</v>
      </c>
      <c r="BO1" t="s">
        <v>785</v>
      </c>
      <c r="BP1" t="s">
        <v>119</v>
      </c>
      <c r="BQ1" t="s">
        <v>120</v>
      </c>
      <c r="BR1" t="s">
        <v>793</v>
      </c>
      <c r="BS1" t="s">
        <v>794</v>
      </c>
      <c r="BT1" t="s">
        <v>121</v>
      </c>
      <c r="BU1" t="s">
        <v>126</v>
      </c>
      <c r="BV1" t="s">
        <v>127</v>
      </c>
      <c r="BW1" t="s">
        <v>122</v>
      </c>
      <c r="BX1" t="s">
        <v>128</v>
      </c>
      <c r="BY1" t="s">
        <v>129</v>
      </c>
      <c r="BZ1" t="s">
        <v>123</v>
      </c>
      <c r="CA1" t="s">
        <v>132</v>
      </c>
      <c r="CB1" t="s">
        <v>133</v>
      </c>
      <c r="CC1" t="s">
        <v>124</v>
      </c>
      <c r="CD1" t="s">
        <v>134</v>
      </c>
      <c r="CE1" t="s">
        <v>135</v>
      </c>
      <c r="CF1" t="s">
        <v>125</v>
      </c>
      <c r="CG1" t="s">
        <v>130</v>
      </c>
      <c r="CH1" t="s">
        <v>131</v>
      </c>
      <c r="CI1" t="s">
        <v>815</v>
      </c>
      <c r="CJ1" t="s">
        <v>822</v>
      </c>
      <c r="CK1" t="s">
        <v>5</v>
      </c>
      <c r="CL1" t="s">
        <v>792</v>
      </c>
      <c r="CM1" t="s">
        <v>786</v>
      </c>
      <c r="CN1" t="s">
        <v>787</v>
      </c>
      <c r="CO1" t="s">
        <v>788</v>
      </c>
      <c r="CP1" t="s">
        <v>816</v>
      </c>
      <c r="CQ1" t="s">
        <v>817</v>
      </c>
      <c r="CR1" t="s">
        <v>789</v>
      </c>
      <c r="CS1" t="s">
        <v>790</v>
      </c>
      <c r="CT1" t="s">
        <v>791</v>
      </c>
      <c r="CU1" t="s">
        <v>828</v>
      </c>
    </row>
    <row r="2" spans="1:99" x14ac:dyDescent="0.25">
      <c r="CU2" s="2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061E3-FE41-4C2E-B782-34880A2716FC}">
  <sheetPr codeName="Planilha6"/>
  <dimension ref="A1:C1"/>
  <sheetViews>
    <sheetView workbookViewId="0">
      <selection activeCell="B7" sqref="B7"/>
    </sheetView>
  </sheetViews>
  <sheetFormatPr defaultRowHeight="15" x14ac:dyDescent="0.25"/>
  <cols>
    <col min="1" max="1" width="27.7109375" customWidth="1"/>
    <col min="2" max="2" width="26" customWidth="1"/>
    <col min="3" max="3" width="26.42578125" customWidth="1"/>
  </cols>
  <sheetData>
    <row r="1" spans="1:3" x14ac:dyDescent="0.25">
      <c r="A1" t="s">
        <v>761</v>
      </c>
      <c r="B1" t="s">
        <v>762</v>
      </c>
      <c r="C1" t="s">
        <v>763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FB5AA-7FE7-44DF-BD77-C2EF907C6719}">
  <sheetPr codeName="Planilha5"/>
  <dimension ref="A1:Z615"/>
  <sheetViews>
    <sheetView topLeftCell="N1" workbookViewId="0">
      <selection activeCell="AB2" sqref="AB2"/>
    </sheetView>
  </sheetViews>
  <sheetFormatPr defaultRowHeight="15" x14ac:dyDescent="0.25"/>
  <cols>
    <col min="1" max="1" width="14" customWidth="1"/>
    <col min="2" max="2" width="31.7109375" bestFit="1" customWidth="1"/>
    <col min="3" max="3" width="2.7109375" customWidth="1"/>
    <col min="4" max="4" width="5.140625" bestFit="1" customWidth="1"/>
    <col min="5" max="5" width="29" bestFit="1" customWidth="1"/>
    <col min="6" max="6" width="14.7109375" customWidth="1"/>
    <col min="7" max="7" width="1.5703125" customWidth="1"/>
    <col min="8" max="8" width="34.42578125" bestFit="1" customWidth="1"/>
    <col min="9" max="9" width="0.7109375" customWidth="1"/>
    <col min="10" max="11" width="22.5703125" bestFit="1" customWidth="1"/>
    <col min="12" max="12" width="16.42578125" bestFit="1" customWidth="1"/>
    <col min="13" max="13" width="21.42578125" bestFit="1" customWidth="1"/>
    <col min="14" max="14" width="3" bestFit="1" customWidth="1"/>
    <col min="15" max="15" width="22.7109375" bestFit="1" customWidth="1"/>
    <col min="16" max="16" width="3" bestFit="1" customWidth="1"/>
    <col min="17" max="17" width="22" bestFit="1" customWidth="1"/>
    <col min="19" max="19" width="17.42578125" bestFit="1" customWidth="1"/>
    <col min="20" max="20" width="19.5703125" bestFit="1" customWidth="1"/>
    <col min="21" max="21" width="2.85546875" customWidth="1"/>
    <col min="22" max="22" width="21.42578125" bestFit="1" customWidth="1"/>
    <col min="24" max="24" width="23.42578125" customWidth="1"/>
    <col min="26" max="26" width="22" bestFit="1" customWidth="1"/>
  </cols>
  <sheetData>
    <row r="1" spans="1:26" x14ac:dyDescent="0.25">
      <c r="A1" t="s">
        <v>3</v>
      </c>
      <c r="B1" t="s">
        <v>1</v>
      </c>
      <c r="D1" t="s">
        <v>3</v>
      </c>
      <c r="E1" s="4" t="s">
        <v>4</v>
      </c>
      <c r="F1" t="s">
        <v>68</v>
      </c>
      <c r="H1" t="s">
        <v>72</v>
      </c>
      <c r="J1" t="s">
        <v>76</v>
      </c>
      <c r="K1" t="s">
        <v>77</v>
      </c>
      <c r="L1" t="s">
        <v>78</v>
      </c>
      <c r="M1" t="s">
        <v>81</v>
      </c>
      <c r="O1" t="s">
        <v>88</v>
      </c>
      <c r="Q1" t="s">
        <v>96</v>
      </c>
      <c r="S1" t="s">
        <v>136</v>
      </c>
      <c r="T1" t="s">
        <v>143</v>
      </c>
      <c r="V1" t="s">
        <v>144</v>
      </c>
      <c r="X1" t="s">
        <v>813</v>
      </c>
      <c r="Z1" t="s">
        <v>834</v>
      </c>
    </row>
    <row r="2" spans="1:26" x14ac:dyDescent="0.25">
      <c r="A2">
        <f>ROW()</f>
        <v>2</v>
      </c>
      <c r="B2" t="s">
        <v>67</v>
      </c>
      <c r="D2" t="s">
        <v>69</v>
      </c>
      <c r="E2" t="s">
        <v>67</v>
      </c>
      <c r="F2" t="s">
        <v>67</v>
      </c>
      <c r="H2" t="s">
        <v>67</v>
      </c>
      <c r="J2" t="s">
        <v>67</v>
      </c>
      <c r="K2" t="s">
        <v>67</v>
      </c>
      <c r="L2" t="s">
        <v>67</v>
      </c>
      <c r="M2" t="s">
        <v>67</v>
      </c>
      <c r="O2" t="s">
        <v>67</v>
      </c>
      <c r="Q2" t="s">
        <v>67</v>
      </c>
      <c r="S2" t="s">
        <v>67</v>
      </c>
      <c r="T2" t="s">
        <v>67</v>
      </c>
      <c r="V2" t="s">
        <v>67</v>
      </c>
      <c r="X2" t="s">
        <v>67</v>
      </c>
      <c r="Z2" t="s">
        <v>835</v>
      </c>
    </row>
    <row r="3" spans="1:26" x14ac:dyDescent="0.25">
      <c r="A3">
        <f>ROW()</f>
        <v>3</v>
      </c>
      <c r="B3" t="s">
        <v>825</v>
      </c>
      <c r="D3">
        <f>ROW()</f>
        <v>3</v>
      </c>
      <c r="E3" s="3" t="s">
        <v>10</v>
      </c>
      <c r="F3" t="s">
        <v>37</v>
      </c>
      <c r="H3" t="s">
        <v>67</v>
      </c>
      <c r="J3" t="s">
        <v>146</v>
      </c>
      <c r="K3" t="s">
        <v>147</v>
      </c>
      <c r="L3" t="s">
        <v>760</v>
      </c>
      <c r="M3" t="s">
        <v>148</v>
      </c>
      <c r="O3" t="s">
        <v>89</v>
      </c>
      <c r="Q3" t="s">
        <v>67</v>
      </c>
      <c r="S3">
        <v>13.8</v>
      </c>
      <c r="T3" t="s">
        <v>139</v>
      </c>
      <c r="V3" t="s">
        <v>137</v>
      </c>
      <c r="X3" t="s">
        <v>798</v>
      </c>
      <c r="Z3" t="s">
        <v>843</v>
      </c>
    </row>
    <row r="4" spans="1:26" x14ac:dyDescent="0.25">
      <c r="A4">
        <f>ROW()</f>
        <v>4</v>
      </c>
      <c r="B4" t="s">
        <v>826</v>
      </c>
      <c r="D4">
        <f>ROW()</f>
        <v>4</v>
      </c>
      <c r="E4" t="s">
        <v>11</v>
      </c>
      <c r="F4" t="s">
        <v>38</v>
      </c>
      <c r="H4" t="s">
        <v>73</v>
      </c>
      <c r="J4" t="s">
        <v>149</v>
      </c>
      <c r="K4" t="s">
        <v>150</v>
      </c>
      <c r="L4" t="s">
        <v>760</v>
      </c>
      <c r="M4" t="s">
        <v>148</v>
      </c>
      <c r="O4" t="s">
        <v>90</v>
      </c>
      <c r="Q4" t="s">
        <v>97</v>
      </c>
      <c r="S4">
        <v>34.5</v>
      </c>
      <c r="T4" t="s">
        <v>140</v>
      </c>
      <c r="V4" t="s">
        <v>138</v>
      </c>
      <c r="X4" t="s">
        <v>814</v>
      </c>
    </row>
    <row r="5" spans="1:26" x14ac:dyDescent="0.25">
      <c r="A5">
        <f>ROW()</f>
        <v>5</v>
      </c>
      <c r="B5" t="s">
        <v>827</v>
      </c>
      <c r="D5">
        <f>ROW()</f>
        <v>5</v>
      </c>
      <c r="E5" t="s">
        <v>12</v>
      </c>
      <c r="F5" t="s">
        <v>39</v>
      </c>
      <c r="H5" t="s">
        <v>74</v>
      </c>
      <c r="J5" t="s">
        <v>151</v>
      </c>
      <c r="K5" t="s">
        <v>152</v>
      </c>
      <c r="L5" t="s">
        <v>760</v>
      </c>
      <c r="M5" t="s">
        <v>148</v>
      </c>
      <c r="O5" t="s">
        <v>91</v>
      </c>
      <c r="Q5" t="s">
        <v>98</v>
      </c>
      <c r="S5">
        <v>69</v>
      </c>
      <c r="T5" t="s">
        <v>141</v>
      </c>
      <c r="V5" t="s">
        <v>145</v>
      </c>
    </row>
    <row r="6" spans="1:26" x14ac:dyDescent="0.25">
      <c r="D6">
        <f>ROW()</f>
        <v>6</v>
      </c>
      <c r="E6" t="s">
        <v>13</v>
      </c>
      <c r="F6" t="s">
        <v>40</v>
      </c>
      <c r="H6" t="s">
        <v>75</v>
      </c>
      <c r="J6" t="s">
        <v>153</v>
      </c>
      <c r="K6" t="s">
        <v>154</v>
      </c>
      <c r="L6" t="s">
        <v>760</v>
      </c>
      <c r="M6" t="s">
        <v>148</v>
      </c>
      <c r="O6" t="s">
        <v>92</v>
      </c>
      <c r="Q6" t="s">
        <v>99</v>
      </c>
      <c r="S6">
        <v>138</v>
      </c>
      <c r="T6" t="s">
        <v>142</v>
      </c>
    </row>
    <row r="7" spans="1:26" x14ac:dyDescent="0.25">
      <c r="D7">
        <f>ROW()</f>
        <v>7</v>
      </c>
      <c r="E7" t="s">
        <v>14</v>
      </c>
      <c r="F7" t="s">
        <v>41</v>
      </c>
      <c r="J7" t="s">
        <v>155</v>
      </c>
      <c r="K7" t="s">
        <v>156</v>
      </c>
      <c r="L7" t="s">
        <v>760</v>
      </c>
      <c r="M7" t="s">
        <v>148</v>
      </c>
      <c r="O7" t="s">
        <v>93</v>
      </c>
    </row>
    <row r="8" spans="1:26" x14ac:dyDescent="0.25">
      <c r="D8">
        <f>ROW()</f>
        <v>8</v>
      </c>
      <c r="E8" t="s">
        <v>15</v>
      </c>
      <c r="F8" t="s">
        <v>42</v>
      </c>
      <c r="J8" t="s">
        <v>157</v>
      </c>
      <c r="K8" t="s">
        <v>158</v>
      </c>
      <c r="L8" t="s">
        <v>760</v>
      </c>
      <c r="M8" t="s">
        <v>148</v>
      </c>
      <c r="O8" t="s">
        <v>94</v>
      </c>
    </row>
    <row r="9" spans="1:26" x14ac:dyDescent="0.25">
      <c r="D9">
        <f>ROW()</f>
        <v>9</v>
      </c>
      <c r="E9" t="s">
        <v>16</v>
      </c>
      <c r="F9" t="s">
        <v>43</v>
      </c>
      <c r="J9" t="s">
        <v>159</v>
      </c>
      <c r="K9" t="s">
        <v>160</v>
      </c>
      <c r="L9" t="s">
        <v>760</v>
      </c>
      <c r="M9" t="s">
        <v>148</v>
      </c>
    </row>
    <row r="10" spans="1:26" x14ac:dyDescent="0.25">
      <c r="D10">
        <f>ROW()</f>
        <v>10</v>
      </c>
      <c r="E10" t="s">
        <v>17</v>
      </c>
      <c r="F10" t="s">
        <v>44</v>
      </c>
      <c r="J10" t="s">
        <v>156</v>
      </c>
      <c r="K10" t="s">
        <v>156</v>
      </c>
      <c r="L10" t="s">
        <v>760</v>
      </c>
      <c r="M10" t="s">
        <v>148</v>
      </c>
    </row>
    <row r="11" spans="1:26" x14ac:dyDescent="0.25">
      <c r="D11">
        <f>ROW()</f>
        <v>11</v>
      </c>
      <c r="E11" t="s">
        <v>18</v>
      </c>
      <c r="F11" t="s">
        <v>45</v>
      </c>
      <c r="J11" t="s">
        <v>161</v>
      </c>
      <c r="K11" t="s">
        <v>147</v>
      </c>
      <c r="L11" t="s">
        <v>760</v>
      </c>
      <c r="M11" t="s">
        <v>148</v>
      </c>
    </row>
    <row r="12" spans="1:26" x14ac:dyDescent="0.25">
      <c r="D12">
        <f>ROW()</f>
        <v>12</v>
      </c>
      <c r="E12" t="s">
        <v>19</v>
      </c>
      <c r="F12" t="s">
        <v>46</v>
      </c>
      <c r="J12" t="s">
        <v>162</v>
      </c>
      <c r="K12" t="s">
        <v>162</v>
      </c>
      <c r="L12" t="s">
        <v>760</v>
      </c>
      <c r="M12" t="s">
        <v>148</v>
      </c>
    </row>
    <row r="13" spans="1:26" x14ac:dyDescent="0.25">
      <c r="D13">
        <f>ROW()</f>
        <v>13</v>
      </c>
      <c r="E13" t="s">
        <v>20</v>
      </c>
      <c r="F13" t="s">
        <v>47</v>
      </c>
      <c r="J13" t="s">
        <v>163</v>
      </c>
      <c r="K13" t="s">
        <v>163</v>
      </c>
      <c r="L13" t="s">
        <v>760</v>
      </c>
      <c r="M13" t="s">
        <v>148</v>
      </c>
    </row>
    <row r="14" spans="1:26" x14ac:dyDescent="0.25">
      <c r="D14">
        <f>ROW()</f>
        <v>14</v>
      </c>
      <c r="E14" t="s">
        <v>21</v>
      </c>
      <c r="F14" t="s">
        <v>48</v>
      </c>
      <c r="J14" t="s">
        <v>164</v>
      </c>
      <c r="K14" t="s">
        <v>164</v>
      </c>
      <c r="L14" t="s">
        <v>760</v>
      </c>
      <c r="M14" t="s">
        <v>148</v>
      </c>
    </row>
    <row r="15" spans="1:26" x14ac:dyDescent="0.25">
      <c r="D15">
        <f>ROW()</f>
        <v>15</v>
      </c>
      <c r="E15" t="s">
        <v>22</v>
      </c>
      <c r="F15" t="s">
        <v>22</v>
      </c>
      <c r="J15" t="s">
        <v>165</v>
      </c>
      <c r="K15" t="s">
        <v>165</v>
      </c>
      <c r="L15" t="s">
        <v>760</v>
      </c>
      <c r="M15" t="s">
        <v>148</v>
      </c>
    </row>
    <row r="16" spans="1:26" x14ac:dyDescent="0.25">
      <c r="D16">
        <f>ROW()</f>
        <v>16</v>
      </c>
      <c r="E16" t="s">
        <v>23</v>
      </c>
      <c r="F16" t="s">
        <v>49</v>
      </c>
      <c r="J16" t="s">
        <v>152</v>
      </c>
      <c r="K16" t="s">
        <v>152</v>
      </c>
      <c r="L16" t="s">
        <v>760</v>
      </c>
      <c r="M16" t="s">
        <v>148</v>
      </c>
    </row>
    <row r="17" spans="4:13" x14ac:dyDescent="0.25">
      <c r="D17">
        <f>ROW()</f>
        <v>17</v>
      </c>
      <c r="E17" t="s">
        <v>7</v>
      </c>
      <c r="F17" t="s">
        <v>50</v>
      </c>
      <c r="J17" t="s">
        <v>166</v>
      </c>
      <c r="K17" t="s">
        <v>166</v>
      </c>
      <c r="L17" t="s">
        <v>760</v>
      </c>
      <c r="M17" t="s">
        <v>148</v>
      </c>
    </row>
    <row r="18" spans="4:13" x14ac:dyDescent="0.25">
      <c r="D18">
        <f>ROW()</f>
        <v>18</v>
      </c>
      <c r="E18" t="s">
        <v>9</v>
      </c>
      <c r="F18" t="s">
        <v>51</v>
      </c>
      <c r="J18" t="s">
        <v>167</v>
      </c>
      <c r="K18" t="s">
        <v>167</v>
      </c>
      <c r="L18" t="s">
        <v>760</v>
      </c>
      <c r="M18" t="s">
        <v>148</v>
      </c>
    </row>
    <row r="19" spans="4:13" x14ac:dyDescent="0.25">
      <c r="D19">
        <f>ROW()</f>
        <v>19</v>
      </c>
      <c r="E19" t="s">
        <v>24</v>
      </c>
      <c r="F19" t="s">
        <v>52</v>
      </c>
      <c r="J19" t="s">
        <v>168</v>
      </c>
      <c r="K19" t="s">
        <v>168</v>
      </c>
      <c r="L19" t="s">
        <v>760</v>
      </c>
      <c r="M19" t="s">
        <v>148</v>
      </c>
    </row>
    <row r="20" spans="4:13" x14ac:dyDescent="0.25">
      <c r="D20">
        <f>ROW()</f>
        <v>20</v>
      </c>
      <c r="E20" t="s">
        <v>25</v>
      </c>
      <c r="F20" t="s">
        <v>53</v>
      </c>
      <c r="J20" t="s">
        <v>158</v>
      </c>
      <c r="K20" t="s">
        <v>158</v>
      </c>
      <c r="L20" t="s">
        <v>760</v>
      </c>
      <c r="M20" t="s">
        <v>148</v>
      </c>
    </row>
    <row r="21" spans="4:13" x14ac:dyDescent="0.25">
      <c r="D21">
        <f>ROW()</f>
        <v>21</v>
      </c>
      <c r="E21" t="s">
        <v>6</v>
      </c>
      <c r="F21" t="s">
        <v>54</v>
      </c>
      <c r="J21" t="s">
        <v>169</v>
      </c>
      <c r="K21" t="s">
        <v>169</v>
      </c>
      <c r="L21" t="s">
        <v>760</v>
      </c>
      <c r="M21" t="s">
        <v>148</v>
      </c>
    </row>
    <row r="22" spans="4:13" x14ac:dyDescent="0.25">
      <c r="D22">
        <f>ROW()</f>
        <v>22</v>
      </c>
      <c r="E22" t="s">
        <v>26</v>
      </c>
      <c r="F22" t="s">
        <v>55</v>
      </c>
      <c r="J22" t="s">
        <v>170</v>
      </c>
      <c r="K22" t="s">
        <v>162</v>
      </c>
      <c r="L22" t="s">
        <v>760</v>
      </c>
      <c r="M22" t="s">
        <v>148</v>
      </c>
    </row>
    <row r="23" spans="4:13" x14ac:dyDescent="0.25">
      <c r="D23">
        <f>ROW()</f>
        <v>23</v>
      </c>
      <c r="E23" t="s">
        <v>27</v>
      </c>
      <c r="F23" t="s">
        <v>56</v>
      </c>
      <c r="J23" t="s">
        <v>171</v>
      </c>
      <c r="K23" t="s">
        <v>171</v>
      </c>
      <c r="L23" t="s">
        <v>760</v>
      </c>
      <c r="M23" t="s">
        <v>148</v>
      </c>
    </row>
    <row r="24" spans="4:13" x14ac:dyDescent="0.25">
      <c r="D24">
        <f>ROW()</f>
        <v>24</v>
      </c>
      <c r="E24" t="s">
        <v>28</v>
      </c>
      <c r="F24" t="s">
        <v>57</v>
      </c>
      <c r="J24" t="s">
        <v>172</v>
      </c>
      <c r="K24" t="s">
        <v>173</v>
      </c>
      <c r="L24" t="s">
        <v>760</v>
      </c>
      <c r="M24" t="s">
        <v>148</v>
      </c>
    </row>
    <row r="25" spans="4:13" x14ac:dyDescent="0.25">
      <c r="D25">
        <f>ROW()</f>
        <v>25</v>
      </c>
      <c r="E25" t="s">
        <v>8</v>
      </c>
      <c r="F25" t="s">
        <v>58</v>
      </c>
      <c r="J25" t="s">
        <v>173</v>
      </c>
      <c r="K25" t="s">
        <v>173</v>
      </c>
      <c r="L25" t="s">
        <v>760</v>
      </c>
      <c r="M25" t="s">
        <v>148</v>
      </c>
    </row>
    <row r="26" spans="4:13" x14ac:dyDescent="0.25">
      <c r="D26">
        <f>ROW()</f>
        <v>26</v>
      </c>
      <c r="E26" t="s">
        <v>29</v>
      </c>
      <c r="F26" t="s">
        <v>59</v>
      </c>
      <c r="J26" t="s">
        <v>174</v>
      </c>
      <c r="K26" t="s">
        <v>175</v>
      </c>
      <c r="L26" t="s">
        <v>760</v>
      </c>
      <c r="M26" t="s">
        <v>148</v>
      </c>
    </row>
    <row r="27" spans="4:13" x14ac:dyDescent="0.25">
      <c r="D27">
        <f>ROW()</f>
        <v>27</v>
      </c>
      <c r="E27" t="s">
        <v>30</v>
      </c>
      <c r="F27" t="s">
        <v>60</v>
      </c>
      <c r="J27" t="s">
        <v>176</v>
      </c>
      <c r="K27" t="s">
        <v>176</v>
      </c>
      <c r="L27" t="s">
        <v>760</v>
      </c>
      <c r="M27" t="s">
        <v>148</v>
      </c>
    </row>
    <row r="28" spans="4:13" x14ac:dyDescent="0.25">
      <c r="D28">
        <f>ROW()</f>
        <v>28</v>
      </c>
      <c r="E28" t="s">
        <v>31</v>
      </c>
      <c r="F28" t="s">
        <v>61</v>
      </c>
      <c r="J28" t="s">
        <v>177</v>
      </c>
      <c r="K28" t="s">
        <v>178</v>
      </c>
      <c r="L28" t="s">
        <v>760</v>
      </c>
      <c r="M28" t="s">
        <v>148</v>
      </c>
    </row>
    <row r="29" spans="4:13" x14ac:dyDescent="0.25">
      <c r="D29">
        <f>ROW()</f>
        <v>29</v>
      </c>
      <c r="E29" t="s">
        <v>32</v>
      </c>
      <c r="F29" t="s">
        <v>62</v>
      </c>
      <c r="J29" t="s">
        <v>179</v>
      </c>
      <c r="K29" t="s">
        <v>179</v>
      </c>
      <c r="L29" t="s">
        <v>760</v>
      </c>
      <c r="M29" t="s">
        <v>148</v>
      </c>
    </row>
    <row r="30" spans="4:13" x14ac:dyDescent="0.25">
      <c r="D30">
        <f>ROW()</f>
        <v>30</v>
      </c>
      <c r="E30" t="s">
        <v>33</v>
      </c>
      <c r="F30" t="s">
        <v>63</v>
      </c>
      <c r="J30" t="s">
        <v>180</v>
      </c>
      <c r="K30" t="s">
        <v>147</v>
      </c>
      <c r="L30" t="s">
        <v>760</v>
      </c>
      <c r="M30" t="s">
        <v>148</v>
      </c>
    </row>
    <row r="31" spans="4:13" x14ac:dyDescent="0.25">
      <c r="D31">
        <f>ROW()</f>
        <v>31</v>
      </c>
      <c r="E31" t="s">
        <v>34</v>
      </c>
      <c r="F31" t="s">
        <v>64</v>
      </c>
      <c r="J31" t="s">
        <v>181</v>
      </c>
      <c r="K31" t="s">
        <v>181</v>
      </c>
      <c r="L31" t="s">
        <v>488</v>
      </c>
      <c r="M31" t="s">
        <v>148</v>
      </c>
    </row>
    <row r="32" spans="4:13" ht="17.25" customHeight="1" x14ac:dyDescent="0.25">
      <c r="D32">
        <f>ROW()</f>
        <v>32</v>
      </c>
      <c r="E32" t="s">
        <v>35</v>
      </c>
      <c r="F32" t="s">
        <v>65</v>
      </c>
      <c r="J32" t="s">
        <v>182</v>
      </c>
      <c r="K32" t="s">
        <v>182</v>
      </c>
      <c r="L32" t="s">
        <v>760</v>
      </c>
      <c r="M32" t="s">
        <v>148</v>
      </c>
    </row>
    <row r="33" spans="4:13" x14ac:dyDescent="0.25">
      <c r="D33">
        <f>ROW()</f>
        <v>33</v>
      </c>
      <c r="E33" t="s">
        <v>36</v>
      </c>
      <c r="F33" t="s">
        <v>66</v>
      </c>
      <c r="J33" t="s">
        <v>183</v>
      </c>
      <c r="K33" t="s">
        <v>183</v>
      </c>
      <c r="L33" t="s">
        <v>760</v>
      </c>
      <c r="M33" t="s">
        <v>148</v>
      </c>
    </row>
    <row r="34" spans="4:13" x14ac:dyDescent="0.25">
      <c r="J34" t="s">
        <v>184</v>
      </c>
      <c r="K34" t="s">
        <v>178</v>
      </c>
      <c r="L34" t="s">
        <v>760</v>
      </c>
      <c r="M34" t="s">
        <v>148</v>
      </c>
    </row>
    <row r="35" spans="4:13" x14ac:dyDescent="0.25">
      <c r="J35" t="s">
        <v>185</v>
      </c>
      <c r="K35" t="s">
        <v>171</v>
      </c>
      <c r="L35" t="s">
        <v>760</v>
      </c>
      <c r="M35" t="s">
        <v>148</v>
      </c>
    </row>
    <row r="36" spans="4:13" x14ac:dyDescent="0.25">
      <c r="J36" t="s">
        <v>186</v>
      </c>
      <c r="K36" t="s">
        <v>187</v>
      </c>
      <c r="L36" t="s">
        <v>760</v>
      </c>
      <c r="M36" t="s">
        <v>148</v>
      </c>
    </row>
    <row r="37" spans="4:13" x14ac:dyDescent="0.25">
      <c r="J37" t="s">
        <v>188</v>
      </c>
      <c r="K37" t="s">
        <v>154</v>
      </c>
      <c r="L37" t="s">
        <v>760</v>
      </c>
      <c r="M37" t="s">
        <v>148</v>
      </c>
    </row>
    <row r="38" spans="4:13" x14ac:dyDescent="0.25">
      <c r="J38" t="s">
        <v>189</v>
      </c>
      <c r="K38" t="s">
        <v>189</v>
      </c>
      <c r="L38" t="s">
        <v>760</v>
      </c>
      <c r="M38" t="s">
        <v>148</v>
      </c>
    </row>
    <row r="39" spans="4:13" x14ac:dyDescent="0.25">
      <c r="J39" t="s">
        <v>190</v>
      </c>
      <c r="K39" t="s">
        <v>190</v>
      </c>
      <c r="L39" t="s">
        <v>760</v>
      </c>
      <c r="M39" t="s">
        <v>148</v>
      </c>
    </row>
    <row r="40" spans="4:13" x14ac:dyDescent="0.25">
      <c r="J40" t="s">
        <v>191</v>
      </c>
      <c r="K40" t="s">
        <v>191</v>
      </c>
      <c r="L40" t="s">
        <v>760</v>
      </c>
      <c r="M40" t="s">
        <v>148</v>
      </c>
    </row>
    <row r="41" spans="4:13" x14ac:dyDescent="0.25">
      <c r="J41" t="s">
        <v>192</v>
      </c>
      <c r="K41" t="s">
        <v>158</v>
      </c>
      <c r="L41" t="s">
        <v>760</v>
      </c>
      <c r="M41" t="s">
        <v>148</v>
      </c>
    </row>
    <row r="42" spans="4:13" x14ac:dyDescent="0.25">
      <c r="J42" t="s">
        <v>193</v>
      </c>
      <c r="K42" t="s">
        <v>193</v>
      </c>
      <c r="L42" t="s">
        <v>760</v>
      </c>
      <c r="M42" t="s">
        <v>148</v>
      </c>
    </row>
    <row r="43" spans="4:13" x14ac:dyDescent="0.25">
      <c r="J43" t="s">
        <v>194</v>
      </c>
      <c r="K43" t="s">
        <v>178</v>
      </c>
      <c r="L43" t="s">
        <v>760</v>
      </c>
      <c r="M43" t="s">
        <v>148</v>
      </c>
    </row>
    <row r="44" spans="4:13" x14ac:dyDescent="0.25">
      <c r="J44" t="s">
        <v>195</v>
      </c>
      <c r="K44" t="s">
        <v>175</v>
      </c>
      <c r="L44" t="s">
        <v>760</v>
      </c>
      <c r="M44" t="s">
        <v>148</v>
      </c>
    </row>
    <row r="45" spans="4:13" x14ac:dyDescent="0.25">
      <c r="J45" t="s">
        <v>196</v>
      </c>
      <c r="K45" t="s">
        <v>163</v>
      </c>
      <c r="L45" t="s">
        <v>760</v>
      </c>
      <c r="M45" t="s">
        <v>148</v>
      </c>
    </row>
    <row r="46" spans="4:13" x14ac:dyDescent="0.25">
      <c r="J46" t="s">
        <v>197</v>
      </c>
      <c r="K46" t="s">
        <v>198</v>
      </c>
      <c r="L46" t="s">
        <v>760</v>
      </c>
      <c r="M46" t="s">
        <v>148</v>
      </c>
    </row>
    <row r="47" spans="4:13" x14ac:dyDescent="0.25">
      <c r="J47" t="s">
        <v>199</v>
      </c>
      <c r="K47" t="s">
        <v>150</v>
      </c>
      <c r="L47" t="s">
        <v>760</v>
      </c>
      <c r="M47" t="s">
        <v>148</v>
      </c>
    </row>
    <row r="48" spans="4:13" x14ac:dyDescent="0.25">
      <c r="J48" t="s">
        <v>200</v>
      </c>
      <c r="K48" t="s">
        <v>200</v>
      </c>
      <c r="L48" t="s">
        <v>760</v>
      </c>
      <c r="M48" t="s">
        <v>148</v>
      </c>
    </row>
    <row r="49" spans="10:13" x14ac:dyDescent="0.25">
      <c r="J49" t="s">
        <v>201</v>
      </c>
      <c r="K49" t="s">
        <v>175</v>
      </c>
      <c r="L49" t="s">
        <v>760</v>
      </c>
      <c r="M49" t="s">
        <v>148</v>
      </c>
    </row>
    <row r="50" spans="10:13" x14ac:dyDescent="0.25">
      <c r="J50" t="s">
        <v>202</v>
      </c>
      <c r="K50" t="s">
        <v>147</v>
      </c>
      <c r="L50" t="s">
        <v>760</v>
      </c>
      <c r="M50" t="s">
        <v>148</v>
      </c>
    </row>
    <row r="51" spans="10:13" x14ac:dyDescent="0.25">
      <c r="J51" t="s">
        <v>203</v>
      </c>
      <c r="K51" t="s">
        <v>147</v>
      </c>
      <c r="L51" t="s">
        <v>760</v>
      </c>
      <c r="M51" t="s">
        <v>148</v>
      </c>
    </row>
    <row r="52" spans="10:13" x14ac:dyDescent="0.25">
      <c r="J52" t="s">
        <v>204</v>
      </c>
      <c r="K52" t="s">
        <v>147</v>
      </c>
      <c r="L52" t="s">
        <v>760</v>
      </c>
      <c r="M52" t="s">
        <v>148</v>
      </c>
    </row>
    <row r="53" spans="10:13" x14ac:dyDescent="0.25">
      <c r="J53" t="s">
        <v>205</v>
      </c>
      <c r="K53" t="s">
        <v>147</v>
      </c>
      <c r="L53" t="s">
        <v>760</v>
      </c>
      <c r="M53" t="s">
        <v>148</v>
      </c>
    </row>
    <row r="54" spans="10:13" x14ac:dyDescent="0.25">
      <c r="J54" t="s">
        <v>206</v>
      </c>
      <c r="K54" t="s">
        <v>198</v>
      </c>
      <c r="L54" t="s">
        <v>760</v>
      </c>
      <c r="M54" t="s">
        <v>148</v>
      </c>
    </row>
    <row r="55" spans="10:13" x14ac:dyDescent="0.25">
      <c r="J55" t="s">
        <v>207</v>
      </c>
      <c r="K55" t="s">
        <v>175</v>
      </c>
      <c r="L55" t="s">
        <v>760</v>
      </c>
      <c r="M55" t="s">
        <v>148</v>
      </c>
    </row>
    <row r="56" spans="10:13" x14ac:dyDescent="0.25">
      <c r="J56" t="s">
        <v>208</v>
      </c>
      <c r="K56" t="s">
        <v>209</v>
      </c>
      <c r="L56" t="s">
        <v>760</v>
      </c>
      <c r="M56" t="s">
        <v>148</v>
      </c>
    </row>
    <row r="57" spans="10:13" x14ac:dyDescent="0.25">
      <c r="J57" t="s">
        <v>210</v>
      </c>
      <c r="K57" t="s">
        <v>211</v>
      </c>
      <c r="L57" t="s">
        <v>760</v>
      </c>
      <c r="M57" t="s">
        <v>148</v>
      </c>
    </row>
    <row r="58" spans="10:13" x14ac:dyDescent="0.25">
      <c r="J58" t="s">
        <v>211</v>
      </c>
      <c r="K58" t="s">
        <v>211</v>
      </c>
      <c r="L58" t="s">
        <v>760</v>
      </c>
      <c r="M58" t="s">
        <v>148</v>
      </c>
    </row>
    <row r="59" spans="10:13" x14ac:dyDescent="0.25">
      <c r="J59" t="s">
        <v>212</v>
      </c>
      <c r="K59" t="s">
        <v>154</v>
      </c>
      <c r="L59" t="s">
        <v>760</v>
      </c>
      <c r="M59" t="s">
        <v>148</v>
      </c>
    </row>
    <row r="60" spans="10:13" x14ac:dyDescent="0.25">
      <c r="J60" t="s">
        <v>213</v>
      </c>
      <c r="K60" t="s">
        <v>178</v>
      </c>
      <c r="L60" t="s">
        <v>760</v>
      </c>
      <c r="M60" t="s">
        <v>148</v>
      </c>
    </row>
    <row r="61" spans="10:13" x14ac:dyDescent="0.25">
      <c r="J61" t="s">
        <v>214</v>
      </c>
      <c r="K61" t="s">
        <v>215</v>
      </c>
      <c r="L61" t="s">
        <v>760</v>
      </c>
      <c r="M61" t="s">
        <v>148</v>
      </c>
    </row>
    <row r="62" spans="10:13" x14ac:dyDescent="0.25">
      <c r="J62" t="s">
        <v>216</v>
      </c>
      <c r="K62" t="s">
        <v>215</v>
      </c>
      <c r="L62" t="s">
        <v>760</v>
      </c>
      <c r="M62" t="s">
        <v>148</v>
      </c>
    </row>
    <row r="63" spans="10:13" x14ac:dyDescent="0.25">
      <c r="J63" t="s">
        <v>217</v>
      </c>
      <c r="K63" t="s">
        <v>150</v>
      </c>
      <c r="L63" t="s">
        <v>760</v>
      </c>
      <c r="M63" t="s">
        <v>148</v>
      </c>
    </row>
    <row r="64" spans="10:13" x14ac:dyDescent="0.25">
      <c r="J64" t="s">
        <v>218</v>
      </c>
      <c r="K64" t="s">
        <v>154</v>
      </c>
      <c r="L64" t="s">
        <v>760</v>
      </c>
      <c r="M64" t="s">
        <v>148</v>
      </c>
    </row>
    <row r="65" spans="10:13" x14ac:dyDescent="0.25">
      <c r="J65" t="s">
        <v>219</v>
      </c>
      <c r="K65" t="s">
        <v>220</v>
      </c>
      <c r="L65" t="s">
        <v>760</v>
      </c>
      <c r="M65" t="s">
        <v>148</v>
      </c>
    </row>
    <row r="66" spans="10:13" x14ac:dyDescent="0.25">
      <c r="J66" t="s">
        <v>221</v>
      </c>
      <c r="K66" t="s">
        <v>220</v>
      </c>
      <c r="L66" t="s">
        <v>760</v>
      </c>
      <c r="M66" t="s">
        <v>148</v>
      </c>
    </row>
    <row r="67" spans="10:13" x14ac:dyDescent="0.25">
      <c r="J67" t="s">
        <v>222</v>
      </c>
      <c r="K67" t="s">
        <v>162</v>
      </c>
      <c r="L67" t="s">
        <v>760</v>
      </c>
      <c r="M67" t="s">
        <v>148</v>
      </c>
    </row>
    <row r="68" spans="10:13" x14ac:dyDescent="0.25">
      <c r="J68" t="s">
        <v>223</v>
      </c>
      <c r="K68" t="s">
        <v>198</v>
      </c>
      <c r="L68" t="s">
        <v>760</v>
      </c>
      <c r="M68" t="s">
        <v>148</v>
      </c>
    </row>
    <row r="69" spans="10:13" x14ac:dyDescent="0.25">
      <c r="J69" t="s">
        <v>224</v>
      </c>
      <c r="K69" t="s">
        <v>178</v>
      </c>
      <c r="L69" t="s">
        <v>760</v>
      </c>
      <c r="M69" t="s">
        <v>148</v>
      </c>
    </row>
    <row r="70" spans="10:13" x14ac:dyDescent="0.25">
      <c r="J70" t="s">
        <v>225</v>
      </c>
      <c r="K70" t="s">
        <v>165</v>
      </c>
      <c r="L70" t="s">
        <v>760</v>
      </c>
      <c r="M70" t="s">
        <v>148</v>
      </c>
    </row>
    <row r="71" spans="10:13" x14ac:dyDescent="0.25">
      <c r="J71" t="s">
        <v>226</v>
      </c>
      <c r="K71" t="s">
        <v>165</v>
      </c>
      <c r="L71" t="s">
        <v>760</v>
      </c>
      <c r="M71" t="s">
        <v>148</v>
      </c>
    </row>
    <row r="72" spans="10:13" x14ac:dyDescent="0.25">
      <c r="J72" t="s">
        <v>227</v>
      </c>
      <c r="K72" t="s">
        <v>165</v>
      </c>
      <c r="L72" t="s">
        <v>760</v>
      </c>
      <c r="M72" t="s">
        <v>148</v>
      </c>
    </row>
    <row r="73" spans="10:13" x14ac:dyDescent="0.25">
      <c r="J73" t="s">
        <v>228</v>
      </c>
      <c r="K73" t="s">
        <v>158</v>
      </c>
      <c r="L73" t="s">
        <v>760</v>
      </c>
      <c r="M73" t="s">
        <v>148</v>
      </c>
    </row>
    <row r="74" spans="10:13" x14ac:dyDescent="0.25">
      <c r="J74" t="s">
        <v>229</v>
      </c>
      <c r="K74" t="s">
        <v>152</v>
      </c>
      <c r="L74" t="s">
        <v>760</v>
      </c>
      <c r="M74" t="s">
        <v>148</v>
      </c>
    </row>
    <row r="75" spans="10:13" x14ac:dyDescent="0.25">
      <c r="J75" t="s">
        <v>230</v>
      </c>
      <c r="K75" t="s">
        <v>171</v>
      </c>
      <c r="L75" t="s">
        <v>760</v>
      </c>
      <c r="M75" t="s">
        <v>148</v>
      </c>
    </row>
    <row r="76" spans="10:13" x14ac:dyDescent="0.25">
      <c r="J76" t="s">
        <v>231</v>
      </c>
      <c r="K76" t="s">
        <v>209</v>
      </c>
      <c r="L76" t="s">
        <v>760</v>
      </c>
      <c r="M76" t="s">
        <v>148</v>
      </c>
    </row>
    <row r="77" spans="10:13" x14ac:dyDescent="0.25">
      <c r="J77" t="s">
        <v>232</v>
      </c>
      <c r="K77" t="s">
        <v>209</v>
      </c>
      <c r="L77" t="s">
        <v>760</v>
      </c>
      <c r="M77" t="s">
        <v>148</v>
      </c>
    </row>
    <row r="78" spans="10:13" x14ac:dyDescent="0.25">
      <c r="J78" t="s">
        <v>233</v>
      </c>
      <c r="K78" t="s">
        <v>234</v>
      </c>
      <c r="L78" t="s">
        <v>237</v>
      </c>
      <c r="M78" t="s">
        <v>235</v>
      </c>
    </row>
    <row r="79" spans="10:13" x14ac:dyDescent="0.25">
      <c r="J79" t="s">
        <v>236</v>
      </c>
      <c r="K79" t="s">
        <v>237</v>
      </c>
      <c r="L79" t="s">
        <v>237</v>
      </c>
      <c r="M79" t="s">
        <v>235</v>
      </c>
    </row>
    <row r="80" spans="10:13" x14ac:dyDescent="0.25">
      <c r="J80" t="s">
        <v>238</v>
      </c>
      <c r="K80" t="s">
        <v>239</v>
      </c>
      <c r="L80" t="s">
        <v>237</v>
      </c>
      <c r="M80" t="s">
        <v>235</v>
      </c>
    </row>
    <row r="81" spans="10:13" x14ac:dyDescent="0.25">
      <c r="J81" t="s">
        <v>240</v>
      </c>
      <c r="K81" t="s">
        <v>241</v>
      </c>
      <c r="L81" t="s">
        <v>237</v>
      </c>
      <c r="M81" t="s">
        <v>235</v>
      </c>
    </row>
    <row r="82" spans="10:13" x14ac:dyDescent="0.25">
      <c r="J82" t="s">
        <v>237</v>
      </c>
      <c r="K82" t="s">
        <v>237</v>
      </c>
      <c r="L82" t="s">
        <v>237</v>
      </c>
      <c r="M82" t="s">
        <v>235</v>
      </c>
    </row>
    <row r="83" spans="10:13" x14ac:dyDescent="0.25">
      <c r="J83" t="s">
        <v>242</v>
      </c>
      <c r="K83" t="s">
        <v>242</v>
      </c>
      <c r="L83" t="s">
        <v>237</v>
      </c>
      <c r="M83" t="s">
        <v>235</v>
      </c>
    </row>
    <row r="84" spans="10:13" x14ac:dyDescent="0.25">
      <c r="J84" t="s">
        <v>243</v>
      </c>
      <c r="K84" t="s">
        <v>243</v>
      </c>
      <c r="L84" t="s">
        <v>237</v>
      </c>
      <c r="M84" t="s">
        <v>235</v>
      </c>
    </row>
    <row r="85" spans="10:13" x14ac:dyDescent="0.25">
      <c r="J85" t="s">
        <v>244</v>
      </c>
      <c r="K85" t="s">
        <v>244</v>
      </c>
      <c r="L85" t="s">
        <v>237</v>
      </c>
      <c r="M85" t="s">
        <v>235</v>
      </c>
    </row>
    <row r="86" spans="10:13" x14ac:dyDescent="0.25">
      <c r="J86" t="s">
        <v>245</v>
      </c>
      <c r="K86" t="s">
        <v>245</v>
      </c>
      <c r="L86" t="s">
        <v>237</v>
      </c>
      <c r="M86" t="s">
        <v>235</v>
      </c>
    </row>
    <row r="87" spans="10:13" x14ac:dyDescent="0.25">
      <c r="J87" t="s">
        <v>246</v>
      </c>
      <c r="K87" t="s">
        <v>246</v>
      </c>
      <c r="L87" t="s">
        <v>237</v>
      </c>
      <c r="M87" t="s">
        <v>235</v>
      </c>
    </row>
    <row r="88" spans="10:13" x14ac:dyDescent="0.25">
      <c r="J88" t="s">
        <v>247</v>
      </c>
      <c r="K88" t="s">
        <v>247</v>
      </c>
      <c r="L88" t="s">
        <v>237</v>
      </c>
      <c r="M88" t="s">
        <v>235</v>
      </c>
    </row>
    <row r="89" spans="10:13" x14ac:dyDescent="0.25">
      <c r="J89" t="s">
        <v>241</v>
      </c>
      <c r="K89" t="s">
        <v>241</v>
      </c>
      <c r="L89" t="s">
        <v>237</v>
      </c>
      <c r="M89" t="s">
        <v>235</v>
      </c>
    </row>
    <row r="90" spans="10:13" x14ac:dyDescent="0.25">
      <c r="J90" t="s">
        <v>248</v>
      </c>
      <c r="K90" t="s">
        <v>248</v>
      </c>
      <c r="L90" t="s">
        <v>248</v>
      </c>
      <c r="M90" t="s">
        <v>249</v>
      </c>
    </row>
    <row r="91" spans="10:13" x14ac:dyDescent="0.25">
      <c r="J91" t="s">
        <v>250</v>
      </c>
      <c r="K91" t="s">
        <v>250</v>
      </c>
      <c r="L91" t="s">
        <v>250</v>
      </c>
      <c r="M91" t="s">
        <v>251</v>
      </c>
    </row>
    <row r="92" spans="10:13" x14ac:dyDescent="0.25">
      <c r="J92" t="s">
        <v>252</v>
      </c>
      <c r="K92" t="s">
        <v>252</v>
      </c>
      <c r="L92" t="s">
        <v>250</v>
      </c>
      <c r="M92" t="s">
        <v>251</v>
      </c>
    </row>
    <row r="93" spans="10:13" x14ac:dyDescent="0.25">
      <c r="J93" t="s">
        <v>253</v>
      </c>
      <c r="K93" t="s">
        <v>253</v>
      </c>
      <c r="L93" t="s">
        <v>250</v>
      </c>
      <c r="M93" t="s">
        <v>251</v>
      </c>
    </row>
    <row r="94" spans="10:13" x14ac:dyDescent="0.25">
      <c r="J94" t="s">
        <v>254</v>
      </c>
      <c r="K94" t="s">
        <v>254</v>
      </c>
      <c r="L94" t="s">
        <v>250</v>
      </c>
      <c r="M94" t="s">
        <v>251</v>
      </c>
    </row>
    <row r="95" spans="10:13" x14ac:dyDescent="0.25">
      <c r="J95" t="s">
        <v>255</v>
      </c>
      <c r="K95" t="s">
        <v>250</v>
      </c>
      <c r="L95" t="s">
        <v>250</v>
      </c>
      <c r="M95" t="s">
        <v>251</v>
      </c>
    </row>
    <row r="96" spans="10:13" x14ac:dyDescent="0.25">
      <c r="J96" t="s">
        <v>256</v>
      </c>
      <c r="K96" t="s">
        <v>256</v>
      </c>
      <c r="L96" t="s">
        <v>250</v>
      </c>
      <c r="M96" t="s">
        <v>251</v>
      </c>
    </row>
    <row r="97" spans="10:13" x14ac:dyDescent="0.25">
      <c r="J97" t="s">
        <v>257</v>
      </c>
      <c r="K97" t="s">
        <v>250</v>
      </c>
      <c r="L97" t="s">
        <v>250</v>
      </c>
      <c r="M97" t="s">
        <v>251</v>
      </c>
    </row>
    <row r="98" spans="10:13" x14ac:dyDescent="0.25">
      <c r="J98" t="s">
        <v>258</v>
      </c>
      <c r="K98" t="s">
        <v>258</v>
      </c>
      <c r="L98" t="s">
        <v>250</v>
      </c>
      <c r="M98" t="s">
        <v>251</v>
      </c>
    </row>
    <row r="99" spans="10:13" x14ac:dyDescent="0.25">
      <c r="J99" t="s">
        <v>259</v>
      </c>
      <c r="K99" t="s">
        <v>259</v>
      </c>
      <c r="L99" t="s">
        <v>250</v>
      </c>
      <c r="M99" t="s">
        <v>251</v>
      </c>
    </row>
    <row r="100" spans="10:13" x14ac:dyDescent="0.25">
      <c r="J100" t="s">
        <v>178</v>
      </c>
      <c r="K100" t="s">
        <v>178</v>
      </c>
      <c r="L100" t="s">
        <v>760</v>
      </c>
      <c r="M100" t="s">
        <v>148</v>
      </c>
    </row>
    <row r="101" spans="10:13" x14ac:dyDescent="0.25">
      <c r="J101" t="s">
        <v>198</v>
      </c>
      <c r="K101" t="s">
        <v>198</v>
      </c>
      <c r="L101" t="s">
        <v>760</v>
      </c>
      <c r="M101" t="s">
        <v>148</v>
      </c>
    </row>
    <row r="102" spans="10:13" x14ac:dyDescent="0.25">
      <c r="J102" t="s">
        <v>175</v>
      </c>
      <c r="K102" t="s">
        <v>175</v>
      </c>
      <c r="L102" t="s">
        <v>760</v>
      </c>
      <c r="M102" t="s">
        <v>148</v>
      </c>
    </row>
    <row r="103" spans="10:13" x14ac:dyDescent="0.25">
      <c r="J103" t="s">
        <v>260</v>
      </c>
      <c r="K103" t="s">
        <v>260</v>
      </c>
      <c r="L103" t="s">
        <v>760</v>
      </c>
      <c r="M103" t="s">
        <v>148</v>
      </c>
    </row>
    <row r="104" spans="10:13" x14ac:dyDescent="0.25">
      <c r="J104" t="s">
        <v>261</v>
      </c>
      <c r="K104" t="s">
        <v>261</v>
      </c>
      <c r="L104" t="s">
        <v>760</v>
      </c>
      <c r="M104" t="s">
        <v>148</v>
      </c>
    </row>
    <row r="105" spans="10:13" x14ac:dyDescent="0.25">
      <c r="J105" t="s">
        <v>262</v>
      </c>
      <c r="K105" t="s">
        <v>262</v>
      </c>
      <c r="L105" t="s">
        <v>760</v>
      </c>
      <c r="M105" t="s">
        <v>148</v>
      </c>
    </row>
    <row r="106" spans="10:13" x14ac:dyDescent="0.25">
      <c r="J106" t="s">
        <v>263</v>
      </c>
      <c r="K106" t="s">
        <v>263</v>
      </c>
      <c r="L106" t="s">
        <v>760</v>
      </c>
      <c r="M106" t="s">
        <v>148</v>
      </c>
    </row>
    <row r="107" spans="10:13" x14ac:dyDescent="0.25">
      <c r="J107" t="s">
        <v>160</v>
      </c>
      <c r="K107" t="s">
        <v>160</v>
      </c>
      <c r="L107" t="s">
        <v>760</v>
      </c>
      <c r="M107" t="s">
        <v>148</v>
      </c>
    </row>
    <row r="108" spans="10:13" x14ac:dyDescent="0.25">
      <c r="J108" t="s">
        <v>264</v>
      </c>
      <c r="K108" t="s">
        <v>264</v>
      </c>
      <c r="L108" t="s">
        <v>237</v>
      </c>
      <c r="M108" t="s">
        <v>235</v>
      </c>
    </row>
    <row r="109" spans="10:13" x14ac:dyDescent="0.25">
      <c r="J109" t="s">
        <v>265</v>
      </c>
      <c r="K109" t="s">
        <v>265</v>
      </c>
      <c r="L109" t="s">
        <v>237</v>
      </c>
      <c r="M109" t="s">
        <v>235</v>
      </c>
    </row>
    <row r="110" spans="10:13" x14ac:dyDescent="0.25">
      <c r="J110" t="s">
        <v>266</v>
      </c>
      <c r="K110" t="s">
        <v>266</v>
      </c>
      <c r="L110" t="s">
        <v>237</v>
      </c>
      <c r="M110" t="s">
        <v>235</v>
      </c>
    </row>
    <row r="111" spans="10:13" x14ac:dyDescent="0.25">
      <c r="J111" t="s">
        <v>239</v>
      </c>
      <c r="K111" t="s">
        <v>239</v>
      </c>
      <c r="L111" t="s">
        <v>237</v>
      </c>
      <c r="M111" t="s">
        <v>235</v>
      </c>
    </row>
    <row r="112" spans="10:13" x14ac:dyDescent="0.25">
      <c r="J112" t="s">
        <v>267</v>
      </c>
      <c r="K112" t="s">
        <v>268</v>
      </c>
      <c r="L112" t="s">
        <v>248</v>
      </c>
      <c r="M112" t="s">
        <v>249</v>
      </c>
    </row>
    <row r="113" spans="10:13" x14ac:dyDescent="0.25">
      <c r="J113" t="s">
        <v>269</v>
      </c>
      <c r="K113" t="s">
        <v>270</v>
      </c>
      <c r="L113" t="s">
        <v>250</v>
      </c>
      <c r="M113" t="s">
        <v>251</v>
      </c>
    </row>
    <row r="114" spans="10:13" x14ac:dyDescent="0.25">
      <c r="J114" t="s">
        <v>271</v>
      </c>
      <c r="K114" t="s">
        <v>258</v>
      </c>
      <c r="L114" t="s">
        <v>250</v>
      </c>
      <c r="M114" t="s">
        <v>251</v>
      </c>
    </row>
    <row r="115" spans="10:13" x14ac:dyDescent="0.25">
      <c r="J115" t="s">
        <v>272</v>
      </c>
      <c r="K115" t="s">
        <v>273</v>
      </c>
      <c r="L115" t="s">
        <v>248</v>
      </c>
      <c r="M115" t="s">
        <v>235</v>
      </c>
    </row>
    <row r="116" spans="10:13" x14ac:dyDescent="0.25">
      <c r="J116" t="s">
        <v>274</v>
      </c>
      <c r="K116" t="s">
        <v>248</v>
      </c>
      <c r="L116" t="s">
        <v>248</v>
      </c>
      <c r="M116" t="s">
        <v>249</v>
      </c>
    </row>
    <row r="117" spans="10:13" x14ac:dyDescent="0.25">
      <c r="J117" t="s">
        <v>275</v>
      </c>
      <c r="K117" t="s">
        <v>252</v>
      </c>
      <c r="L117" t="s">
        <v>250</v>
      </c>
      <c r="M117" t="s">
        <v>251</v>
      </c>
    </row>
    <row r="118" spans="10:13" x14ac:dyDescent="0.25">
      <c r="J118" t="s">
        <v>276</v>
      </c>
      <c r="K118" t="s">
        <v>252</v>
      </c>
      <c r="L118" t="s">
        <v>250</v>
      </c>
      <c r="M118" t="s">
        <v>251</v>
      </c>
    </row>
    <row r="119" spans="10:13" x14ac:dyDescent="0.25">
      <c r="J119" t="s">
        <v>277</v>
      </c>
      <c r="K119" t="s">
        <v>278</v>
      </c>
      <c r="L119" t="s">
        <v>250</v>
      </c>
      <c r="M119" t="s">
        <v>251</v>
      </c>
    </row>
    <row r="120" spans="10:13" x14ac:dyDescent="0.25">
      <c r="J120" t="s">
        <v>279</v>
      </c>
      <c r="K120" t="s">
        <v>280</v>
      </c>
      <c r="L120" t="s">
        <v>364</v>
      </c>
      <c r="M120" t="s">
        <v>249</v>
      </c>
    </row>
    <row r="121" spans="10:13" x14ac:dyDescent="0.25">
      <c r="J121" t="s">
        <v>281</v>
      </c>
      <c r="K121" t="s">
        <v>282</v>
      </c>
      <c r="L121" t="s">
        <v>364</v>
      </c>
      <c r="M121" t="s">
        <v>249</v>
      </c>
    </row>
    <row r="122" spans="10:13" x14ac:dyDescent="0.25">
      <c r="J122" t="s">
        <v>283</v>
      </c>
      <c r="K122" t="s">
        <v>284</v>
      </c>
      <c r="L122" t="s">
        <v>364</v>
      </c>
      <c r="M122" t="s">
        <v>249</v>
      </c>
    </row>
    <row r="123" spans="10:13" x14ac:dyDescent="0.25">
      <c r="J123" t="s">
        <v>285</v>
      </c>
      <c r="K123" t="s">
        <v>286</v>
      </c>
      <c r="L123" t="s">
        <v>364</v>
      </c>
      <c r="M123" t="s">
        <v>249</v>
      </c>
    </row>
    <row r="124" spans="10:13" x14ac:dyDescent="0.25">
      <c r="J124" t="s">
        <v>287</v>
      </c>
      <c r="K124" t="s">
        <v>288</v>
      </c>
      <c r="L124" t="s">
        <v>364</v>
      </c>
      <c r="M124" t="s">
        <v>249</v>
      </c>
    </row>
    <row r="125" spans="10:13" x14ac:dyDescent="0.25">
      <c r="J125" t="s">
        <v>289</v>
      </c>
      <c r="K125" t="s">
        <v>280</v>
      </c>
      <c r="L125" t="s">
        <v>364</v>
      </c>
      <c r="M125" t="s">
        <v>249</v>
      </c>
    </row>
    <row r="126" spans="10:13" x14ac:dyDescent="0.25">
      <c r="J126" t="s">
        <v>290</v>
      </c>
      <c r="K126" t="s">
        <v>290</v>
      </c>
      <c r="L126" t="s">
        <v>237</v>
      </c>
      <c r="M126" t="s">
        <v>235</v>
      </c>
    </row>
    <row r="127" spans="10:13" x14ac:dyDescent="0.25">
      <c r="J127" t="s">
        <v>291</v>
      </c>
      <c r="K127" t="s">
        <v>291</v>
      </c>
      <c r="L127" t="s">
        <v>237</v>
      </c>
      <c r="M127" t="s">
        <v>235</v>
      </c>
    </row>
    <row r="128" spans="10:13" x14ac:dyDescent="0.25">
      <c r="J128" t="s">
        <v>234</v>
      </c>
      <c r="K128" t="s">
        <v>234</v>
      </c>
      <c r="L128" t="s">
        <v>237</v>
      </c>
      <c r="M128" t="s">
        <v>235</v>
      </c>
    </row>
    <row r="129" spans="10:13" x14ac:dyDescent="0.25">
      <c r="J129" t="s">
        <v>292</v>
      </c>
      <c r="K129" t="s">
        <v>292</v>
      </c>
      <c r="L129" t="s">
        <v>237</v>
      </c>
      <c r="M129" t="s">
        <v>235</v>
      </c>
    </row>
    <row r="130" spans="10:13" x14ac:dyDescent="0.25">
      <c r="J130" t="s">
        <v>293</v>
      </c>
      <c r="K130" t="s">
        <v>293</v>
      </c>
      <c r="L130" t="s">
        <v>237</v>
      </c>
      <c r="M130" t="s">
        <v>235</v>
      </c>
    </row>
    <row r="131" spans="10:13" x14ac:dyDescent="0.25">
      <c r="J131" t="s">
        <v>294</v>
      </c>
      <c r="K131" t="s">
        <v>294</v>
      </c>
      <c r="L131" t="s">
        <v>237</v>
      </c>
      <c r="M131" t="s">
        <v>235</v>
      </c>
    </row>
    <row r="132" spans="10:13" x14ac:dyDescent="0.25">
      <c r="J132" t="s">
        <v>295</v>
      </c>
      <c r="K132" t="s">
        <v>295</v>
      </c>
      <c r="L132" t="s">
        <v>237</v>
      </c>
      <c r="M132" t="s">
        <v>235</v>
      </c>
    </row>
    <row r="133" spans="10:13" x14ac:dyDescent="0.25">
      <c r="J133" t="s">
        <v>296</v>
      </c>
      <c r="K133" t="s">
        <v>296</v>
      </c>
      <c r="L133" t="s">
        <v>237</v>
      </c>
      <c r="M133" t="s">
        <v>235</v>
      </c>
    </row>
    <row r="134" spans="10:13" x14ac:dyDescent="0.25">
      <c r="J134" t="s">
        <v>297</v>
      </c>
      <c r="K134" t="s">
        <v>298</v>
      </c>
      <c r="L134" t="s">
        <v>248</v>
      </c>
      <c r="M134" t="s">
        <v>249</v>
      </c>
    </row>
    <row r="135" spans="10:13" x14ac:dyDescent="0.25">
      <c r="J135" t="s">
        <v>299</v>
      </c>
      <c r="K135" t="s">
        <v>299</v>
      </c>
      <c r="L135" t="s">
        <v>248</v>
      </c>
      <c r="M135" t="s">
        <v>249</v>
      </c>
    </row>
    <row r="136" spans="10:13" x14ac:dyDescent="0.25">
      <c r="J136" t="s">
        <v>300</v>
      </c>
      <c r="K136" t="s">
        <v>299</v>
      </c>
      <c r="L136" t="s">
        <v>248</v>
      </c>
      <c r="M136" t="s">
        <v>249</v>
      </c>
    </row>
    <row r="137" spans="10:13" x14ac:dyDescent="0.25">
      <c r="J137" t="s">
        <v>301</v>
      </c>
      <c r="K137" t="s">
        <v>302</v>
      </c>
      <c r="L137" t="s">
        <v>248</v>
      </c>
      <c r="M137" t="s">
        <v>249</v>
      </c>
    </row>
    <row r="138" spans="10:13" x14ac:dyDescent="0.25">
      <c r="J138" t="s">
        <v>302</v>
      </c>
      <c r="K138" t="s">
        <v>302</v>
      </c>
      <c r="L138" t="s">
        <v>248</v>
      </c>
      <c r="M138" t="s">
        <v>249</v>
      </c>
    </row>
    <row r="139" spans="10:13" x14ac:dyDescent="0.25">
      <c r="J139" t="s">
        <v>303</v>
      </c>
      <c r="K139" t="s">
        <v>268</v>
      </c>
      <c r="L139" t="s">
        <v>248</v>
      </c>
      <c r="M139" t="s">
        <v>249</v>
      </c>
    </row>
    <row r="140" spans="10:13" x14ac:dyDescent="0.25">
      <c r="J140" t="s">
        <v>304</v>
      </c>
      <c r="K140" t="s">
        <v>304</v>
      </c>
      <c r="L140" t="s">
        <v>248</v>
      </c>
      <c r="M140" t="s">
        <v>249</v>
      </c>
    </row>
    <row r="141" spans="10:13" x14ac:dyDescent="0.25">
      <c r="J141" t="s">
        <v>298</v>
      </c>
      <c r="K141" t="s">
        <v>298</v>
      </c>
      <c r="L141" t="s">
        <v>248</v>
      </c>
      <c r="M141" t="s">
        <v>249</v>
      </c>
    </row>
    <row r="142" spans="10:13" x14ac:dyDescent="0.25">
      <c r="J142" t="s">
        <v>305</v>
      </c>
      <c r="K142" t="s">
        <v>298</v>
      </c>
      <c r="L142" t="s">
        <v>248</v>
      </c>
      <c r="M142" t="s">
        <v>249</v>
      </c>
    </row>
    <row r="143" spans="10:13" x14ac:dyDescent="0.25">
      <c r="J143" t="s">
        <v>306</v>
      </c>
      <c r="K143" t="s">
        <v>306</v>
      </c>
      <c r="L143" t="s">
        <v>248</v>
      </c>
      <c r="M143" t="s">
        <v>249</v>
      </c>
    </row>
    <row r="144" spans="10:13" x14ac:dyDescent="0.25">
      <c r="J144" t="s">
        <v>307</v>
      </c>
      <c r="K144" t="s">
        <v>307</v>
      </c>
      <c r="L144" t="s">
        <v>248</v>
      </c>
      <c r="M144" t="s">
        <v>249</v>
      </c>
    </row>
    <row r="145" spans="10:13" x14ac:dyDescent="0.25">
      <c r="J145" t="s">
        <v>308</v>
      </c>
      <c r="K145" t="s">
        <v>302</v>
      </c>
      <c r="L145" t="s">
        <v>248</v>
      </c>
      <c r="M145" t="s">
        <v>249</v>
      </c>
    </row>
    <row r="146" spans="10:13" x14ac:dyDescent="0.25">
      <c r="J146" t="s">
        <v>309</v>
      </c>
      <c r="K146" t="s">
        <v>309</v>
      </c>
      <c r="L146" t="s">
        <v>250</v>
      </c>
      <c r="M146" t="s">
        <v>251</v>
      </c>
    </row>
    <row r="147" spans="10:13" x14ac:dyDescent="0.25">
      <c r="J147" t="s">
        <v>310</v>
      </c>
      <c r="K147" t="s">
        <v>311</v>
      </c>
      <c r="L147" t="s">
        <v>250</v>
      </c>
      <c r="M147" t="s">
        <v>251</v>
      </c>
    </row>
    <row r="148" spans="10:13" x14ac:dyDescent="0.25">
      <c r="J148" t="s">
        <v>312</v>
      </c>
      <c r="K148" t="s">
        <v>270</v>
      </c>
      <c r="L148" t="s">
        <v>250</v>
      </c>
      <c r="M148" t="s">
        <v>251</v>
      </c>
    </row>
    <row r="149" spans="10:13" x14ac:dyDescent="0.25">
      <c r="J149" t="s">
        <v>278</v>
      </c>
      <c r="K149" t="s">
        <v>278</v>
      </c>
      <c r="L149" t="s">
        <v>250</v>
      </c>
      <c r="M149" t="s">
        <v>251</v>
      </c>
    </row>
    <row r="150" spans="10:13" x14ac:dyDescent="0.25">
      <c r="J150" t="s">
        <v>313</v>
      </c>
      <c r="K150" t="s">
        <v>313</v>
      </c>
      <c r="L150" t="s">
        <v>250</v>
      </c>
      <c r="M150" t="s">
        <v>251</v>
      </c>
    </row>
    <row r="151" spans="10:13" x14ac:dyDescent="0.25">
      <c r="J151" t="s">
        <v>314</v>
      </c>
      <c r="K151" t="s">
        <v>314</v>
      </c>
      <c r="L151" t="s">
        <v>250</v>
      </c>
      <c r="M151" t="s">
        <v>251</v>
      </c>
    </row>
    <row r="152" spans="10:13" x14ac:dyDescent="0.25">
      <c r="J152" t="s">
        <v>315</v>
      </c>
      <c r="K152" t="s">
        <v>315</v>
      </c>
      <c r="L152" t="s">
        <v>250</v>
      </c>
      <c r="M152" t="s">
        <v>251</v>
      </c>
    </row>
    <row r="153" spans="10:13" x14ac:dyDescent="0.25">
      <c r="J153" t="s">
        <v>316</v>
      </c>
      <c r="K153" t="s">
        <v>258</v>
      </c>
      <c r="L153" t="s">
        <v>250</v>
      </c>
      <c r="M153" t="s">
        <v>251</v>
      </c>
    </row>
    <row r="154" spans="10:13" x14ac:dyDescent="0.25">
      <c r="J154" t="s">
        <v>317</v>
      </c>
      <c r="K154" t="s">
        <v>317</v>
      </c>
      <c r="L154" t="s">
        <v>250</v>
      </c>
      <c r="M154" t="s">
        <v>251</v>
      </c>
    </row>
    <row r="155" spans="10:13" x14ac:dyDescent="0.25">
      <c r="J155" t="s">
        <v>318</v>
      </c>
      <c r="K155" t="s">
        <v>318</v>
      </c>
      <c r="L155" t="s">
        <v>250</v>
      </c>
      <c r="M155" t="s">
        <v>251</v>
      </c>
    </row>
    <row r="156" spans="10:13" x14ac:dyDescent="0.25">
      <c r="J156" t="s">
        <v>319</v>
      </c>
      <c r="K156" t="s">
        <v>315</v>
      </c>
      <c r="L156" t="s">
        <v>250</v>
      </c>
      <c r="M156" t="s">
        <v>251</v>
      </c>
    </row>
    <row r="157" spans="10:13" x14ac:dyDescent="0.25">
      <c r="J157" t="s">
        <v>311</v>
      </c>
      <c r="K157" t="s">
        <v>311</v>
      </c>
      <c r="L157" t="s">
        <v>250</v>
      </c>
      <c r="M157" t="s">
        <v>251</v>
      </c>
    </row>
    <row r="158" spans="10:13" x14ac:dyDescent="0.25">
      <c r="J158" t="s">
        <v>270</v>
      </c>
      <c r="K158" t="s">
        <v>270</v>
      </c>
      <c r="L158" t="s">
        <v>250</v>
      </c>
      <c r="M158" t="s">
        <v>251</v>
      </c>
    </row>
    <row r="159" spans="10:13" x14ac:dyDescent="0.25">
      <c r="J159" t="s">
        <v>320</v>
      </c>
      <c r="K159" t="s">
        <v>315</v>
      </c>
      <c r="L159" t="s">
        <v>250</v>
      </c>
      <c r="M159" t="s">
        <v>251</v>
      </c>
    </row>
    <row r="160" spans="10:13" x14ac:dyDescent="0.25">
      <c r="J160" t="s">
        <v>321</v>
      </c>
      <c r="K160" t="s">
        <v>321</v>
      </c>
      <c r="L160" t="s">
        <v>250</v>
      </c>
      <c r="M160" t="s">
        <v>251</v>
      </c>
    </row>
    <row r="161" spans="10:13" x14ac:dyDescent="0.25">
      <c r="J161" t="s">
        <v>322</v>
      </c>
      <c r="K161" t="s">
        <v>322</v>
      </c>
      <c r="L161" t="s">
        <v>250</v>
      </c>
      <c r="M161" t="s">
        <v>251</v>
      </c>
    </row>
    <row r="162" spans="10:13" x14ac:dyDescent="0.25">
      <c r="J162" t="s">
        <v>323</v>
      </c>
      <c r="K162" t="s">
        <v>315</v>
      </c>
      <c r="L162" t="s">
        <v>250</v>
      </c>
      <c r="M162" t="s">
        <v>251</v>
      </c>
    </row>
    <row r="163" spans="10:13" x14ac:dyDescent="0.25">
      <c r="J163" t="s">
        <v>324</v>
      </c>
      <c r="K163" t="s">
        <v>258</v>
      </c>
      <c r="L163" t="s">
        <v>250</v>
      </c>
      <c r="M163" t="s">
        <v>251</v>
      </c>
    </row>
    <row r="164" spans="10:13" x14ac:dyDescent="0.25">
      <c r="J164" t="s">
        <v>325</v>
      </c>
      <c r="K164" t="s">
        <v>326</v>
      </c>
      <c r="L164" t="s">
        <v>364</v>
      </c>
      <c r="M164" t="s">
        <v>249</v>
      </c>
    </row>
    <row r="165" spans="10:13" x14ac:dyDescent="0.25">
      <c r="J165" t="s">
        <v>327</v>
      </c>
      <c r="K165" t="s">
        <v>328</v>
      </c>
      <c r="L165" t="s">
        <v>364</v>
      </c>
      <c r="M165" t="s">
        <v>249</v>
      </c>
    </row>
    <row r="166" spans="10:13" x14ac:dyDescent="0.25">
      <c r="J166" t="s">
        <v>329</v>
      </c>
      <c r="K166" t="s">
        <v>307</v>
      </c>
      <c r="L166" t="s">
        <v>248</v>
      </c>
      <c r="M166" t="s">
        <v>249</v>
      </c>
    </row>
    <row r="167" spans="10:13" x14ac:dyDescent="0.25">
      <c r="J167" t="s">
        <v>330</v>
      </c>
      <c r="K167" t="s">
        <v>253</v>
      </c>
      <c r="L167" t="s">
        <v>250</v>
      </c>
      <c r="M167" t="s">
        <v>251</v>
      </c>
    </row>
    <row r="168" spans="10:13" x14ac:dyDescent="0.25">
      <c r="J168" t="s">
        <v>331</v>
      </c>
      <c r="K168" t="s">
        <v>331</v>
      </c>
      <c r="L168" t="s">
        <v>250</v>
      </c>
      <c r="M168" t="s">
        <v>251</v>
      </c>
    </row>
    <row r="169" spans="10:13" x14ac:dyDescent="0.25">
      <c r="J169" t="s">
        <v>332</v>
      </c>
      <c r="K169" t="s">
        <v>250</v>
      </c>
      <c r="L169" t="s">
        <v>250</v>
      </c>
      <c r="M169" t="s">
        <v>251</v>
      </c>
    </row>
    <row r="170" spans="10:13" x14ac:dyDescent="0.25">
      <c r="J170" t="s">
        <v>333</v>
      </c>
      <c r="K170" t="s">
        <v>250</v>
      </c>
      <c r="L170" t="s">
        <v>250</v>
      </c>
      <c r="M170" t="s">
        <v>251</v>
      </c>
    </row>
    <row r="171" spans="10:13" x14ac:dyDescent="0.25">
      <c r="J171" t="s">
        <v>334</v>
      </c>
      <c r="K171" t="s">
        <v>250</v>
      </c>
      <c r="L171" t="s">
        <v>250</v>
      </c>
      <c r="M171" t="s">
        <v>251</v>
      </c>
    </row>
    <row r="172" spans="10:13" x14ac:dyDescent="0.25">
      <c r="J172" t="s">
        <v>335</v>
      </c>
      <c r="K172" t="s">
        <v>311</v>
      </c>
      <c r="L172" t="s">
        <v>250</v>
      </c>
      <c r="M172" t="s">
        <v>251</v>
      </c>
    </row>
    <row r="173" spans="10:13" x14ac:dyDescent="0.25">
      <c r="J173" t="s">
        <v>336</v>
      </c>
      <c r="K173" t="s">
        <v>278</v>
      </c>
      <c r="L173" t="s">
        <v>250</v>
      </c>
      <c r="M173" t="s">
        <v>251</v>
      </c>
    </row>
    <row r="174" spans="10:13" x14ac:dyDescent="0.25">
      <c r="J174" t="s">
        <v>337</v>
      </c>
      <c r="K174" t="s">
        <v>337</v>
      </c>
      <c r="L174" t="s">
        <v>250</v>
      </c>
      <c r="M174" t="s">
        <v>251</v>
      </c>
    </row>
    <row r="175" spans="10:13" x14ac:dyDescent="0.25">
      <c r="J175" t="s">
        <v>338</v>
      </c>
      <c r="K175" t="s">
        <v>315</v>
      </c>
      <c r="L175" t="s">
        <v>250</v>
      </c>
      <c r="M175" t="s">
        <v>251</v>
      </c>
    </row>
    <row r="176" spans="10:13" x14ac:dyDescent="0.25">
      <c r="J176" t="s">
        <v>339</v>
      </c>
      <c r="K176" t="s">
        <v>315</v>
      </c>
      <c r="L176" t="s">
        <v>250</v>
      </c>
      <c r="M176" t="s">
        <v>251</v>
      </c>
    </row>
    <row r="177" spans="10:13" x14ac:dyDescent="0.25">
      <c r="J177" t="s">
        <v>340</v>
      </c>
      <c r="K177" t="s">
        <v>252</v>
      </c>
      <c r="L177" t="s">
        <v>250</v>
      </c>
      <c r="M177" t="s">
        <v>251</v>
      </c>
    </row>
    <row r="178" spans="10:13" x14ac:dyDescent="0.25">
      <c r="J178" t="s">
        <v>341</v>
      </c>
      <c r="K178" t="s">
        <v>252</v>
      </c>
      <c r="L178" t="s">
        <v>250</v>
      </c>
      <c r="M178" t="s">
        <v>251</v>
      </c>
    </row>
    <row r="179" spans="10:13" x14ac:dyDescent="0.25">
      <c r="J179" t="s">
        <v>342</v>
      </c>
      <c r="K179" t="s">
        <v>252</v>
      </c>
      <c r="L179" t="s">
        <v>250</v>
      </c>
      <c r="M179" t="s">
        <v>251</v>
      </c>
    </row>
    <row r="180" spans="10:13" x14ac:dyDescent="0.25">
      <c r="J180" t="s">
        <v>343</v>
      </c>
      <c r="K180" t="s">
        <v>256</v>
      </c>
      <c r="L180" t="s">
        <v>250</v>
      </c>
      <c r="M180" t="s">
        <v>251</v>
      </c>
    </row>
    <row r="181" spans="10:13" x14ac:dyDescent="0.25">
      <c r="J181" t="s">
        <v>344</v>
      </c>
      <c r="K181" t="s">
        <v>253</v>
      </c>
      <c r="L181" t="s">
        <v>250</v>
      </c>
      <c r="M181" t="s">
        <v>251</v>
      </c>
    </row>
    <row r="182" spans="10:13" x14ac:dyDescent="0.25">
      <c r="J182" t="s">
        <v>345</v>
      </c>
      <c r="K182" t="s">
        <v>253</v>
      </c>
      <c r="L182" t="s">
        <v>250</v>
      </c>
      <c r="M182" t="s">
        <v>251</v>
      </c>
    </row>
    <row r="183" spans="10:13" x14ac:dyDescent="0.25">
      <c r="J183" t="s">
        <v>346</v>
      </c>
      <c r="K183" t="s">
        <v>253</v>
      </c>
      <c r="L183" t="s">
        <v>250</v>
      </c>
      <c r="M183" t="s">
        <v>251</v>
      </c>
    </row>
    <row r="184" spans="10:13" x14ac:dyDescent="0.25">
      <c r="J184" t="s">
        <v>347</v>
      </c>
      <c r="K184" t="s">
        <v>253</v>
      </c>
      <c r="L184" t="s">
        <v>250</v>
      </c>
      <c r="M184" t="s">
        <v>251</v>
      </c>
    </row>
    <row r="185" spans="10:13" x14ac:dyDescent="0.25">
      <c r="J185" t="s">
        <v>348</v>
      </c>
      <c r="K185" t="s">
        <v>253</v>
      </c>
      <c r="L185" t="s">
        <v>250</v>
      </c>
      <c r="M185" t="s">
        <v>251</v>
      </c>
    </row>
    <row r="186" spans="10:13" x14ac:dyDescent="0.25">
      <c r="J186" t="s">
        <v>349</v>
      </c>
      <c r="K186" t="s">
        <v>253</v>
      </c>
      <c r="L186" t="s">
        <v>250</v>
      </c>
      <c r="M186" t="s">
        <v>251</v>
      </c>
    </row>
    <row r="187" spans="10:13" x14ac:dyDescent="0.25">
      <c r="J187" t="s">
        <v>350</v>
      </c>
      <c r="K187" t="s">
        <v>253</v>
      </c>
      <c r="L187" t="s">
        <v>250</v>
      </c>
      <c r="M187" t="s">
        <v>251</v>
      </c>
    </row>
    <row r="188" spans="10:13" x14ac:dyDescent="0.25">
      <c r="J188" t="s">
        <v>351</v>
      </c>
      <c r="K188" t="s">
        <v>270</v>
      </c>
      <c r="L188" t="s">
        <v>250</v>
      </c>
      <c r="M188" t="s">
        <v>251</v>
      </c>
    </row>
    <row r="189" spans="10:13" x14ac:dyDescent="0.25">
      <c r="J189" t="s">
        <v>352</v>
      </c>
      <c r="K189" t="s">
        <v>353</v>
      </c>
      <c r="L189" t="s">
        <v>250</v>
      </c>
      <c r="M189" t="s">
        <v>80</v>
      </c>
    </row>
    <row r="190" spans="10:13" x14ac:dyDescent="0.25">
      <c r="J190" t="s">
        <v>354</v>
      </c>
      <c r="K190" t="s">
        <v>278</v>
      </c>
      <c r="L190" t="s">
        <v>250</v>
      </c>
      <c r="M190" t="s">
        <v>251</v>
      </c>
    </row>
    <row r="191" spans="10:13" x14ac:dyDescent="0.25">
      <c r="J191" t="s">
        <v>355</v>
      </c>
      <c r="K191" t="s">
        <v>270</v>
      </c>
      <c r="L191" t="s">
        <v>250</v>
      </c>
      <c r="M191" t="s">
        <v>251</v>
      </c>
    </row>
    <row r="192" spans="10:13" x14ac:dyDescent="0.25">
      <c r="J192" t="s">
        <v>356</v>
      </c>
      <c r="K192" t="s">
        <v>254</v>
      </c>
      <c r="L192" t="s">
        <v>250</v>
      </c>
      <c r="M192" t="s">
        <v>251</v>
      </c>
    </row>
    <row r="193" spans="10:13" x14ac:dyDescent="0.25">
      <c r="J193" t="s">
        <v>357</v>
      </c>
      <c r="K193" t="s">
        <v>353</v>
      </c>
      <c r="L193" t="s">
        <v>250</v>
      </c>
      <c r="M193" t="s">
        <v>80</v>
      </c>
    </row>
    <row r="194" spans="10:13" x14ac:dyDescent="0.25">
      <c r="J194" t="s">
        <v>358</v>
      </c>
      <c r="K194" t="s">
        <v>254</v>
      </c>
      <c r="L194" t="s">
        <v>250</v>
      </c>
      <c r="M194" t="s">
        <v>251</v>
      </c>
    </row>
    <row r="195" spans="10:13" x14ac:dyDescent="0.25">
      <c r="J195" t="s">
        <v>359</v>
      </c>
      <c r="K195" t="s">
        <v>328</v>
      </c>
      <c r="L195" t="s">
        <v>364</v>
      </c>
      <c r="M195" t="s">
        <v>249</v>
      </c>
    </row>
    <row r="196" spans="10:13" x14ac:dyDescent="0.25">
      <c r="J196" t="s">
        <v>360</v>
      </c>
      <c r="K196" t="s">
        <v>361</v>
      </c>
      <c r="L196" t="s">
        <v>364</v>
      </c>
      <c r="M196" t="s">
        <v>249</v>
      </c>
    </row>
    <row r="197" spans="10:13" x14ac:dyDescent="0.25">
      <c r="J197" t="s">
        <v>362</v>
      </c>
      <c r="K197" t="s">
        <v>363</v>
      </c>
      <c r="L197" t="s">
        <v>364</v>
      </c>
      <c r="M197" t="s">
        <v>249</v>
      </c>
    </row>
    <row r="198" spans="10:13" x14ac:dyDescent="0.25">
      <c r="J198" t="s">
        <v>364</v>
      </c>
      <c r="K198" t="s">
        <v>364</v>
      </c>
      <c r="L198" t="s">
        <v>364</v>
      </c>
      <c r="M198" t="s">
        <v>249</v>
      </c>
    </row>
    <row r="199" spans="10:13" x14ac:dyDescent="0.25">
      <c r="J199" t="s">
        <v>328</v>
      </c>
      <c r="K199" t="s">
        <v>328</v>
      </c>
      <c r="L199" t="s">
        <v>364</v>
      </c>
      <c r="M199" t="s">
        <v>249</v>
      </c>
    </row>
    <row r="200" spans="10:13" x14ac:dyDescent="0.25">
      <c r="J200" t="s">
        <v>288</v>
      </c>
      <c r="K200" t="s">
        <v>288</v>
      </c>
      <c r="L200" t="s">
        <v>364</v>
      </c>
      <c r="M200" t="s">
        <v>249</v>
      </c>
    </row>
    <row r="201" spans="10:13" x14ac:dyDescent="0.25">
      <c r="J201" t="s">
        <v>365</v>
      </c>
      <c r="K201" t="s">
        <v>365</v>
      </c>
      <c r="L201" t="s">
        <v>364</v>
      </c>
      <c r="M201" t="s">
        <v>249</v>
      </c>
    </row>
    <row r="202" spans="10:13" x14ac:dyDescent="0.25">
      <c r="J202" t="s">
        <v>280</v>
      </c>
      <c r="K202" t="s">
        <v>280</v>
      </c>
      <c r="L202" t="s">
        <v>364</v>
      </c>
      <c r="M202" t="s">
        <v>249</v>
      </c>
    </row>
    <row r="203" spans="10:13" x14ac:dyDescent="0.25">
      <c r="J203" t="s">
        <v>366</v>
      </c>
      <c r="K203" t="s">
        <v>366</v>
      </c>
      <c r="L203" t="s">
        <v>364</v>
      </c>
      <c r="M203" t="s">
        <v>249</v>
      </c>
    </row>
    <row r="204" spans="10:13" x14ac:dyDescent="0.25">
      <c r="J204" t="s">
        <v>367</v>
      </c>
      <c r="K204" t="s">
        <v>367</v>
      </c>
      <c r="L204" t="s">
        <v>364</v>
      </c>
      <c r="M204" t="s">
        <v>249</v>
      </c>
    </row>
    <row r="205" spans="10:13" x14ac:dyDescent="0.25">
      <c r="J205" t="s">
        <v>368</v>
      </c>
      <c r="K205" t="s">
        <v>368</v>
      </c>
      <c r="L205" t="s">
        <v>364</v>
      </c>
      <c r="M205" t="s">
        <v>249</v>
      </c>
    </row>
    <row r="206" spans="10:13" x14ac:dyDescent="0.25">
      <c r="J206" t="s">
        <v>369</v>
      </c>
      <c r="K206" t="s">
        <v>198</v>
      </c>
      <c r="L206" t="s">
        <v>760</v>
      </c>
      <c r="M206" t="s">
        <v>148</v>
      </c>
    </row>
    <row r="207" spans="10:13" x14ac:dyDescent="0.25">
      <c r="J207" t="s">
        <v>370</v>
      </c>
      <c r="K207" t="s">
        <v>248</v>
      </c>
      <c r="L207" t="s">
        <v>248</v>
      </c>
      <c r="M207" t="s">
        <v>249</v>
      </c>
    </row>
    <row r="208" spans="10:13" x14ac:dyDescent="0.25">
      <c r="J208" t="s">
        <v>371</v>
      </c>
      <c r="K208" t="s">
        <v>337</v>
      </c>
      <c r="L208" t="s">
        <v>250</v>
      </c>
      <c r="M208" t="s">
        <v>251</v>
      </c>
    </row>
    <row r="209" spans="10:13" x14ac:dyDescent="0.25">
      <c r="J209" t="s">
        <v>372</v>
      </c>
      <c r="K209" t="s">
        <v>252</v>
      </c>
      <c r="L209" t="s">
        <v>250</v>
      </c>
      <c r="M209" t="s">
        <v>251</v>
      </c>
    </row>
    <row r="210" spans="10:13" x14ac:dyDescent="0.25">
      <c r="J210" t="s">
        <v>373</v>
      </c>
      <c r="K210" t="s">
        <v>258</v>
      </c>
      <c r="L210" t="s">
        <v>250</v>
      </c>
      <c r="M210" t="s">
        <v>251</v>
      </c>
    </row>
    <row r="211" spans="10:13" x14ac:dyDescent="0.25">
      <c r="J211" t="s">
        <v>374</v>
      </c>
      <c r="K211" t="s">
        <v>278</v>
      </c>
      <c r="L211" t="s">
        <v>250</v>
      </c>
      <c r="M211" t="s">
        <v>251</v>
      </c>
    </row>
    <row r="212" spans="10:13" x14ac:dyDescent="0.25">
      <c r="J212" t="s">
        <v>375</v>
      </c>
      <c r="K212" t="s">
        <v>376</v>
      </c>
      <c r="L212" t="s">
        <v>364</v>
      </c>
      <c r="M212" t="s">
        <v>249</v>
      </c>
    </row>
    <row r="213" spans="10:13" x14ac:dyDescent="0.25">
      <c r="J213" t="s">
        <v>377</v>
      </c>
      <c r="K213" t="s">
        <v>378</v>
      </c>
      <c r="L213" t="s">
        <v>364</v>
      </c>
      <c r="M213" t="s">
        <v>249</v>
      </c>
    </row>
    <row r="214" spans="10:13" x14ac:dyDescent="0.25">
      <c r="J214" t="s">
        <v>379</v>
      </c>
      <c r="K214" t="s">
        <v>365</v>
      </c>
      <c r="L214" t="s">
        <v>364</v>
      </c>
      <c r="M214" t="s">
        <v>249</v>
      </c>
    </row>
    <row r="215" spans="10:13" x14ac:dyDescent="0.25">
      <c r="J215" t="s">
        <v>380</v>
      </c>
      <c r="K215" t="s">
        <v>361</v>
      </c>
      <c r="L215" t="s">
        <v>364</v>
      </c>
      <c r="M215" t="s">
        <v>249</v>
      </c>
    </row>
    <row r="216" spans="10:13" x14ac:dyDescent="0.25">
      <c r="J216" t="s">
        <v>363</v>
      </c>
      <c r="K216" t="s">
        <v>363</v>
      </c>
      <c r="L216" t="s">
        <v>364</v>
      </c>
      <c r="M216" t="s">
        <v>249</v>
      </c>
    </row>
    <row r="217" spans="10:13" x14ac:dyDescent="0.25">
      <c r="J217" t="s">
        <v>284</v>
      </c>
      <c r="K217" t="s">
        <v>284</v>
      </c>
      <c r="L217" t="s">
        <v>364</v>
      </c>
      <c r="M217" t="s">
        <v>249</v>
      </c>
    </row>
    <row r="218" spans="10:13" x14ac:dyDescent="0.25">
      <c r="J218" t="s">
        <v>381</v>
      </c>
      <c r="K218" t="s">
        <v>381</v>
      </c>
      <c r="L218" t="s">
        <v>364</v>
      </c>
      <c r="M218" t="s">
        <v>249</v>
      </c>
    </row>
    <row r="219" spans="10:13" x14ac:dyDescent="0.25">
      <c r="J219" t="s">
        <v>382</v>
      </c>
      <c r="K219" t="s">
        <v>382</v>
      </c>
      <c r="L219" t="s">
        <v>364</v>
      </c>
      <c r="M219" t="s">
        <v>249</v>
      </c>
    </row>
    <row r="220" spans="10:13" x14ac:dyDescent="0.25">
      <c r="J220" t="s">
        <v>383</v>
      </c>
      <c r="K220" t="s">
        <v>288</v>
      </c>
      <c r="L220" t="s">
        <v>364</v>
      </c>
      <c r="M220" t="s">
        <v>249</v>
      </c>
    </row>
    <row r="221" spans="10:13" x14ac:dyDescent="0.25">
      <c r="J221" t="s">
        <v>286</v>
      </c>
      <c r="K221" t="s">
        <v>286</v>
      </c>
      <c r="L221" t="s">
        <v>364</v>
      </c>
      <c r="M221" t="s">
        <v>249</v>
      </c>
    </row>
    <row r="222" spans="10:13" x14ac:dyDescent="0.25">
      <c r="J222" t="s">
        <v>384</v>
      </c>
      <c r="K222" t="s">
        <v>384</v>
      </c>
      <c r="L222" t="s">
        <v>364</v>
      </c>
      <c r="M222" t="s">
        <v>249</v>
      </c>
    </row>
    <row r="223" spans="10:13" x14ac:dyDescent="0.25">
      <c r="J223" t="s">
        <v>385</v>
      </c>
      <c r="K223" t="s">
        <v>385</v>
      </c>
      <c r="L223" t="s">
        <v>364</v>
      </c>
      <c r="M223" t="s">
        <v>249</v>
      </c>
    </row>
    <row r="224" spans="10:13" x14ac:dyDescent="0.25">
      <c r="J224" t="s">
        <v>282</v>
      </c>
      <c r="K224" t="s">
        <v>282</v>
      </c>
      <c r="L224" t="s">
        <v>364</v>
      </c>
      <c r="M224" t="s">
        <v>249</v>
      </c>
    </row>
    <row r="225" spans="10:13" x14ac:dyDescent="0.25">
      <c r="J225" t="s">
        <v>386</v>
      </c>
      <c r="K225" t="s">
        <v>378</v>
      </c>
      <c r="L225" t="s">
        <v>364</v>
      </c>
      <c r="M225" t="s">
        <v>249</v>
      </c>
    </row>
    <row r="226" spans="10:13" x14ac:dyDescent="0.25">
      <c r="J226" t="s">
        <v>376</v>
      </c>
      <c r="K226" t="s">
        <v>376</v>
      </c>
      <c r="L226" t="s">
        <v>364</v>
      </c>
      <c r="M226" t="s">
        <v>249</v>
      </c>
    </row>
    <row r="227" spans="10:13" x14ac:dyDescent="0.25">
      <c r="J227" t="s">
        <v>387</v>
      </c>
      <c r="K227" t="s">
        <v>326</v>
      </c>
      <c r="L227" t="s">
        <v>364</v>
      </c>
      <c r="M227" t="s">
        <v>249</v>
      </c>
    </row>
    <row r="228" spans="10:13" x14ac:dyDescent="0.25">
      <c r="J228" t="s">
        <v>388</v>
      </c>
      <c r="K228" t="s">
        <v>388</v>
      </c>
      <c r="L228" t="s">
        <v>364</v>
      </c>
      <c r="M228" t="s">
        <v>249</v>
      </c>
    </row>
    <row r="229" spans="10:13" x14ac:dyDescent="0.25">
      <c r="J229" t="s">
        <v>389</v>
      </c>
      <c r="K229" t="s">
        <v>388</v>
      </c>
      <c r="L229" t="s">
        <v>364</v>
      </c>
      <c r="M229" t="s">
        <v>249</v>
      </c>
    </row>
    <row r="230" spans="10:13" x14ac:dyDescent="0.25">
      <c r="J230" t="s">
        <v>390</v>
      </c>
      <c r="K230" t="s">
        <v>384</v>
      </c>
      <c r="L230" t="s">
        <v>364</v>
      </c>
      <c r="M230" t="s">
        <v>249</v>
      </c>
    </row>
    <row r="231" spans="10:13" x14ac:dyDescent="0.25">
      <c r="J231" t="s">
        <v>391</v>
      </c>
      <c r="K231" t="s">
        <v>363</v>
      </c>
      <c r="L231" t="s">
        <v>364</v>
      </c>
      <c r="M231" t="s">
        <v>249</v>
      </c>
    </row>
    <row r="232" spans="10:13" x14ac:dyDescent="0.25">
      <c r="J232" t="s">
        <v>392</v>
      </c>
      <c r="K232" t="s">
        <v>365</v>
      </c>
      <c r="L232" t="s">
        <v>364</v>
      </c>
      <c r="M232" t="s">
        <v>249</v>
      </c>
    </row>
    <row r="233" spans="10:13" x14ac:dyDescent="0.25">
      <c r="J233" t="s">
        <v>393</v>
      </c>
      <c r="K233" t="s">
        <v>365</v>
      </c>
      <c r="L233" t="s">
        <v>364</v>
      </c>
      <c r="M233" t="s">
        <v>249</v>
      </c>
    </row>
    <row r="234" spans="10:13" x14ac:dyDescent="0.25">
      <c r="J234" t="s">
        <v>394</v>
      </c>
      <c r="K234" t="s">
        <v>366</v>
      </c>
      <c r="L234" t="s">
        <v>364</v>
      </c>
      <c r="M234" t="s">
        <v>249</v>
      </c>
    </row>
    <row r="235" spans="10:13" x14ac:dyDescent="0.25">
      <c r="J235" t="s">
        <v>395</v>
      </c>
      <c r="K235" t="s">
        <v>365</v>
      </c>
      <c r="L235" t="s">
        <v>364</v>
      </c>
      <c r="M235" t="s">
        <v>249</v>
      </c>
    </row>
    <row r="236" spans="10:13" x14ac:dyDescent="0.25">
      <c r="J236" t="s">
        <v>396</v>
      </c>
      <c r="K236" t="s">
        <v>397</v>
      </c>
      <c r="L236" t="s">
        <v>364</v>
      </c>
      <c r="M236" t="s">
        <v>249</v>
      </c>
    </row>
    <row r="237" spans="10:13" x14ac:dyDescent="0.25">
      <c r="J237" t="s">
        <v>398</v>
      </c>
      <c r="K237" t="s">
        <v>397</v>
      </c>
      <c r="L237" t="s">
        <v>364</v>
      </c>
      <c r="M237" t="s">
        <v>249</v>
      </c>
    </row>
    <row r="238" spans="10:13" x14ac:dyDescent="0.25">
      <c r="J238" t="s">
        <v>399</v>
      </c>
      <c r="K238" t="s">
        <v>280</v>
      </c>
      <c r="L238" t="s">
        <v>364</v>
      </c>
      <c r="M238" t="s">
        <v>249</v>
      </c>
    </row>
    <row r="239" spans="10:13" x14ac:dyDescent="0.25">
      <c r="J239" t="s">
        <v>400</v>
      </c>
      <c r="K239" t="s">
        <v>284</v>
      </c>
      <c r="L239" t="s">
        <v>364</v>
      </c>
      <c r="M239" t="s">
        <v>249</v>
      </c>
    </row>
    <row r="240" spans="10:13" x14ac:dyDescent="0.25">
      <c r="J240" t="s">
        <v>401</v>
      </c>
      <c r="K240" t="s">
        <v>402</v>
      </c>
      <c r="L240" t="s">
        <v>537</v>
      </c>
      <c r="M240" t="s">
        <v>235</v>
      </c>
    </row>
    <row r="241" spans="10:13" x14ac:dyDescent="0.25">
      <c r="J241" t="s">
        <v>403</v>
      </c>
      <c r="K241" t="s">
        <v>321</v>
      </c>
      <c r="L241" t="s">
        <v>250</v>
      </c>
      <c r="M241" t="s">
        <v>251</v>
      </c>
    </row>
    <row r="242" spans="10:13" x14ac:dyDescent="0.25">
      <c r="J242" t="s">
        <v>404</v>
      </c>
      <c r="K242" t="s">
        <v>252</v>
      </c>
      <c r="L242" t="s">
        <v>250</v>
      </c>
      <c r="M242" t="s">
        <v>251</v>
      </c>
    </row>
    <row r="243" spans="10:13" x14ac:dyDescent="0.25">
      <c r="J243" t="s">
        <v>405</v>
      </c>
      <c r="K243" t="s">
        <v>284</v>
      </c>
      <c r="L243" t="s">
        <v>364</v>
      </c>
      <c r="M243" t="s">
        <v>249</v>
      </c>
    </row>
    <row r="244" spans="10:13" x14ac:dyDescent="0.25">
      <c r="J244" t="s">
        <v>406</v>
      </c>
      <c r="K244" t="s">
        <v>284</v>
      </c>
      <c r="L244" t="s">
        <v>364</v>
      </c>
      <c r="M244" t="s">
        <v>249</v>
      </c>
    </row>
    <row r="245" spans="10:13" x14ac:dyDescent="0.25">
      <c r="J245" t="s">
        <v>407</v>
      </c>
      <c r="K245" t="s">
        <v>284</v>
      </c>
      <c r="L245" t="s">
        <v>364</v>
      </c>
      <c r="M245" t="s">
        <v>249</v>
      </c>
    </row>
    <row r="246" spans="10:13" x14ac:dyDescent="0.25">
      <c r="J246" t="s">
        <v>408</v>
      </c>
      <c r="K246" t="s">
        <v>284</v>
      </c>
      <c r="L246" t="s">
        <v>364</v>
      </c>
      <c r="M246" t="s">
        <v>249</v>
      </c>
    </row>
    <row r="247" spans="10:13" x14ac:dyDescent="0.25">
      <c r="J247" t="s">
        <v>409</v>
      </c>
      <c r="K247" t="s">
        <v>280</v>
      </c>
      <c r="L247" t="s">
        <v>364</v>
      </c>
      <c r="M247" t="s">
        <v>249</v>
      </c>
    </row>
    <row r="248" spans="10:13" x14ac:dyDescent="0.25">
      <c r="J248" t="s">
        <v>410</v>
      </c>
      <c r="K248" t="s">
        <v>368</v>
      </c>
      <c r="L248" t="s">
        <v>364</v>
      </c>
      <c r="M248" t="s">
        <v>249</v>
      </c>
    </row>
    <row r="249" spans="10:13" x14ac:dyDescent="0.25">
      <c r="J249" t="s">
        <v>411</v>
      </c>
      <c r="K249" t="s">
        <v>366</v>
      </c>
      <c r="L249" t="s">
        <v>364</v>
      </c>
      <c r="M249" t="s">
        <v>249</v>
      </c>
    </row>
    <row r="250" spans="10:13" x14ac:dyDescent="0.25">
      <c r="J250" t="s">
        <v>412</v>
      </c>
      <c r="K250" t="s">
        <v>366</v>
      </c>
      <c r="L250" t="s">
        <v>364</v>
      </c>
      <c r="M250" t="s">
        <v>249</v>
      </c>
    </row>
    <row r="251" spans="10:13" x14ac:dyDescent="0.25">
      <c r="J251" t="s">
        <v>413</v>
      </c>
      <c r="K251" t="s">
        <v>414</v>
      </c>
      <c r="L251" t="s">
        <v>364</v>
      </c>
      <c r="M251" t="s">
        <v>249</v>
      </c>
    </row>
    <row r="252" spans="10:13" x14ac:dyDescent="0.25">
      <c r="J252" t="s">
        <v>415</v>
      </c>
      <c r="K252" t="s">
        <v>280</v>
      </c>
      <c r="L252" t="s">
        <v>364</v>
      </c>
      <c r="M252" t="s">
        <v>249</v>
      </c>
    </row>
    <row r="253" spans="10:13" x14ac:dyDescent="0.25">
      <c r="J253" t="s">
        <v>416</v>
      </c>
      <c r="K253" t="s">
        <v>388</v>
      </c>
      <c r="L253" t="s">
        <v>364</v>
      </c>
      <c r="M253" t="s">
        <v>249</v>
      </c>
    </row>
    <row r="254" spans="10:13" x14ac:dyDescent="0.25">
      <c r="J254" t="s">
        <v>417</v>
      </c>
      <c r="K254" t="s">
        <v>366</v>
      </c>
      <c r="L254" t="s">
        <v>364</v>
      </c>
      <c r="M254" t="s">
        <v>249</v>
      </c>
    </row>
    <row r="255" spans="10:13" x14ac:dyDescent="0.25">
      <c r="J255" t="s">
        <v>418</v>
      </c>
      <c r="K255" t="s">
        <v>280</v>
      </c>
      <c r="L255" t="s">
        <v>364</v>
      </c>
      <c r="M255" t="s">
        <v>249</v>
      </c>
    </row>
    <row r="256" spans="10:13" x14ac:dyDescent="0.25">
      <c r="J256" t="s">
        <v>419</v>
      </c>
      <c r="K256" t="s">
        <v>414</v>
      </c>
      <c r="L256" t="s">
        <v>364</v>
      </c>
      <c r="M256" t="s">
        <v>249</v>
      </c>
    </row>
    <row r="257" spans="10:13" x14ac:dyDescent="0.25">
      <c r="J257" t="s">
        <v>420</v>
      </c>
      <c r="K257" t="s">
        <v>414</v>
      </c>
      <c r="L257" t="s">
        <v>364</v>
      </c>
      <c r="M257" t="s">
        <v>249</v>
      </c>
    </row>
    <row r="258" spans="10:13" x14ac:dyDescent="0.25">
      <c r="J258" t="s">
        <v>421</v>
      </c>
      <c r="K258" t="s">
        <v>376</v>
      </c>
      <c r="L258" t="s">
        <v>364</v>
      </c>
      <c r="M258" t="s">
        <v>249</v>
      </c>
    </row>
    <row r="259" spans="10:13" x14ac:dyDescent="0.25">
      <c r="J259" t="s">
        <v>422</v>
      </c>
      <c r="K259" t="s">
        <v>378</v>
      </c>
      <c r="L259" t="s">
        <v>364</v>
      </c>
      <c r="M259" t="s">
        <v>249</v>
      </c>
    </row>
    <row r="260" spans="10:13" x14ac:dyDescent="0.25">
      <c r="J260" t="s">
        <v>423</v>
      </c>
      <c r="K260" t="s">
        <v>282</v>
      </c>
      <c r="L260" t="s">
        <v>364</v>
      </c>
      <c r="M260" t="s">
        <v>249</v>
      </c>
    </row>
    <row r="261" spans="10:13" x14ac:dyDescent="0.25">
      <c r="J261" t="s">
        <v>424</v>
      </c>
      <c r="K261" t="s">
        <v>365</v>
      </c>
      <c r="L261" t="s">
        <v>364</v>
      </c>
      <c r="M261" t="s">
        <v>249</v>
      </c>
    </row>
    <row r="262" spans="10:13" x14ac:dyDescent="0.25">
      <c r="J262" t="s">
        <v>425</v>
      </c>
      <c r="K262" t="s">
        <v>414</v>
      </c>
      <c r="L262" t="s">
        <v>364</v>
      </c>
      <c r="M262" t="s">
        <v>249</v>
      </c>
    </row>
    <row r="263" spans="10:13" x14ac:dyDescent="0.25">
      <c r="J263" t="s">
        <v>426</v>
      </c>
      <c r="K263" t="s">
        <v>365</v>
      </c>
      <c r="L263" t="s">
        <v>364</v>
      </c>
      <c r="M263" t="s">
        <v>249</v>
      </c>
    </row>
    <row r="264" spans="10:13" x14ac:dyDescent="0.25">
      <c r="J264" t="s">
        <v>427</v>
      </c>
      <c r="K264" t="s">
        <v>397</v>
      </c>
      <c r="L264" t="s">
        <v>364</v>
      </c>
      <c r="M264" t="s">
        <v>249</v>
      </c>
    </row>
    <row r="265" spans="10:13" x14ac:dyDescent="0.25">
      <c r="J265" t="s">
        <v>428</v>
      </c>
      <c r="K265" t="s">
        <v>414</v>
      </c>
      <c r="L265" t="s">
        <v>364</v>
      </c>
      <c r="M265" t="s">
        <v>249</v>
      </c>
    </row>
    <row r="266" spans="10:13" x14ac:dyDescent="0.25">
      <c r="J266" t="s">
        <v>429</v>
      </c>
      <c r="K266" t="s">
        <v>382</v>
      </c>
      <c r="L266" t="s">
        <v>364</v>
      </c>
      <c r="M266" t="s">
        <v>249</v>
      </c>
    </row>
    <row r="267" spans="10:13" x14ac:dyDescent="0.25">
      <c r="J267" t="s">
        <v>430</v>
      </c>
      <c r="K267" t="s">
        <v>382</v>
      </c>
      <c r="L267" t="s">
        <v>364</v>
      </c>
      <c r="M267" t="s">
        <v>249</v>
      </c>
    </row>
    <row r="268" spans="10:13" x14ac:dyDescent="0.25">
      <c r="J268" t="s">
        <v>431</v>
      </c>
      <c r="K268" t="s">
        <v>280</v>
      </c>
      <c r="L268" t="s">
        <v>364</v>
      </c>
      <c r="M268" t="s">
        <v>249</v>
      </c>
    </row>
    <row r="269" spans="10:13" x14ac:dyDescent="0.25">
      <c r="J269" t="s">
        <v>432</v>
      </c>
      <c r="K269" t="s">
        <v>384</v>
      </c>
      <c r="L269" t="s">
        <v>364</v>
      </c>
      <c r="M269" t="s">
        <v>249</v>
      </c>
    </row>
    <row r="270" spans="10:13" x14ac:dyDescent="0.25">
      <c r="J270" t="s">
        <v>433</v>
      </c>
      <c r="K270" t="s">
        <v>280</v>
      </c>
      <c r="L270" t="s">
        <v>364</v>
      </c>
      <c r="M270" t="s">
        <v>249</v>
      </c>
    </row>
    <row r="271" spans="10:13" x14ac:dyDescent="0.25">
      <c r="J271" t="s">
        <v>434</v>
      </c>
      <c r="K271" t="s">
        <v>397</v>
      </c>
      <c r="L271" t="s">
        <v>364</v>
      </c>
      <c r="M271" t="s">
        <v>249</v>
      </c>
    </row>
    <row r="272" spans="10:13" x14ac:dyDescent="0.25">
      <c r="J272" t="s">
        <v>397</v>
      </c>
      <c r="K272" t="s">
        <v>397</v>
      </c>
      <c r="L272" t="s">
        <v>364</v>
      </c>
      <c r="M272" t="s">
        <v>249</v>
      </c>
    </row>
    <row r="273" spans="10:13" x14ac:dyDescent="0.25">
      <c r="J273" t="s">
        <v>414</v>
      </c>
      <c r="K273" t="s">
        <v>414</v>
      </c>
      <c r="L273" t="s">
        <v>364</v>
      </c>
      <c r="M273" t="s">
        <v>249</v>
      </c>
    </row>
    <row r="274" spans="10:13" x14ac:dyDescent="0.25">
      <c r="J274" t="s">
        <v>435</v>
      </c>
      <c r="K274" t="s">
        <v>435</v>
      </c>
      <c r="L274" t="s">
        <v>760</v>
      </c>
      <c r="M274" t="s">
        <v>251</v>
      </c>
    </row>
    <row r="275" spans="10:13" x14ac:dyDescent="0.25">
      <c r="J275" t="s">
        <v>436</v>
      </c>
      <c r="K275" t="s">
        <v>436</v>
      </c>
      <c r="L275" t="s">
        <v>760</v>
      </c>
      <c r="M275" t="s">
        <v>148</v>
      </c>
    </row>
    <row r="276" spans="10:13" x14ac:dyDescent="0.25">
      <c r="J276" t="s">
        <v>437</v>
      </c>
      <c r="K276" t="s">
        <v>169</v>
      </c>
      <c r="L276" t="s">
        <v>760</v>
      </c>
      <c r="M276" t="s">
        <v>148</v>
      </c>
    </row>
    <row r="277" spans="10:13" x14ac:dyDescent="0.25">
      <c r="J277" t="s">
        <v>438</v>
      </c>
      <c r="K277" t="s">
        <v>193</v>
      </c>
      <c r="L277" t="s">
        <v>760</v>
      </c>
      <c r="M277" t="s">
        <v>148</v>
      </c>
    </row>
    <row r="278" spans="10:13" x14ac:dyDescent="0.25">
      <c r="J278" t="s">
        <v>439</v>
      </c>
      <c r="K278" t="s">
        <v>191</v>
      </c>
      <c r="L278" t="s">
        <v>760</v>
      </c>
      <c r="M278" t="s">
        <v>148</v>
      </c>
    </row>
    <row r="279" spans="10:13" x14ac:dyDescent="0.25">
      <c r="J279" t="s">
        <v>440</v>
      </c>
      <c r="K279" t="s">
        <v>215</v>
      </c>
      <c r="L279" t="s">
        <v>760</v>
      </c>
      <c r="M279" t="s">
        <v>148</v>
      </c>
    </row>
    <row r="280" spans="10:13" x14ac:dyDescent="0.25">
      <c r="J280" t="s">
        <v>441</v>
      </c>
      <c r="K280" t="s">
        <v>166</v>
      </c>
      <c r="L280" t="s">
        <v>760</v>
      </c>
      <c r="M280" t="s">
        <v>148</v>
      </c>
    </row>
    <row r="281" spans="10:13" x14ac:dyDescent="0.25">
      <c r="J281" t="s">
        <v>442</v>
      </c>
      <c r="K281" t="s">
        <v>191</v>
      </c>
      <c r="L281" t="s">
        <v>760</v>
      </c>
      <c r="M281" t="s">
        <v>148</v>
      </c>
    </row>
    <row r="282" spans="10:13" x14ac:dyDescent="0.25">
      <c r="J282" t="s">
        <v>443</v>
      </c>
      <c r="K282" t="s">
        <v>198</v>
      </c>
      <c r="L282" t="s">
        <v>760</v>
      </c>
      <c r="M282" t="s">
        <v>148</v>
      </c>
    </row>
    <row r="283" spans="10:13" x14ac:dyDescent="0.25">
      <c r="J283" t="s">
        <v>444</v>
      </c>
      <c r="K283" t="s">
        <v>191</v>
      </c>
      <c r="L283" t="s">
        <v>760</v>
      </c>
      <c r="M283" t="s">
        <v>148</v>
      </c>
    </row>
    <row r="284" spans="10:13" x14ac:dyDescent="0.25">
      <c r="J284" t="s">
        <v>445</v>
      </c>
      <c r="K284" t="s">
        <v>154</v>
      </c>
      <c r="L284" t="s">
        <v>760</v>
      </c>
      <c r="M284" t="s">
        <v>148</v>
      </c>
    </row>
    <row r="285" spans="10:13" x14ac:dyDescent="0.25">
      <c r="J285" t="s">
        <v>446</v>
      </c>
      <c r="K285" t="s">
        <v>187</v>
      </c>
      <c r="L285" t="s">
        <v>760</v>
      </c>
      <c r="M285" t="s">
        <v>148</v>
      </c>
    </row>
    <row r="286" spans="10:13" x14ac:dyDescent="0.25">
      <c r="J286" t="s">
        <v>447</v>
      </c>
      <c r="K286" t="s">
        <v>183</v>
      </c>
      <c r="L286" t="s">
        <v>760</v>
      </c>
      <c r="M286" t="s">
        <v>148</v>
      </c>
    </row>
    <row r="287" spans="10:13" x14ac:dyDescent="0.25">
      <c r="J287" t="s">
        <v>448</v>
      </c>
      <c r="K287" t="s">
        <v>241</v>
      </c>
      <c r="L287" t="s">
        <v>237</v>
      </c>
      <c r="M287" t="s">
        <v>235</v>
      </c>
    </row>
    <row r="288" spans="10:13" x14ac:dyDescent="0.25">
      <c r="J288" t="s">
        <v>449</v>
      </c>
      <c r="K288" t="s">
        <v>298</v>
      </c>
      <c r="L288" t="s">
        <v>248</v>
      </c>
      <c r="M288" t="s">
        <v>249</v>
      </c>
    </row>
    <row r="289" spans="10:13" x14ac:dyDescent="0.25">
      <c r="J289" t="s">
        <v>450</v>
      </c>
      <c r="K289" t="s">
        <v>450</v>
      </c>
      <c r="L289" t="s">
        <v>248</v>
      </c>
      <c r="M289" t="s">
        <v>249</v>
      </c>
    </row>
    <row r="290" spans="10:13" x14ac:dyDescent="0.25">
      <c r="J290" t="s">
        <v>451</v>
      </c>
      <c r="K290" t="s">
        <v>248</v>
      </c>
      <c r="L290" t="s">
        <v>248</v>
      </c>
      <c r="M290" t="s">
        <v>249</v>
      </c>
    </row>
    <row r="291" spans="10:13" x14ac:dyDescent="0.25">
      <c r="J291" t="s">
        <v>452</v>
      </c>
      <c r="K291" t="s">
        <v>306</v>
      </c>
      <c r="L291" t="s">
        <v>248</v>
      </c>
      <c r="M291" t="s">
        <v>249</v>
      </c>
    </row>
    <row r="292" spans="10:13" x14ac:dyDescent="0.25">
      <c r="J292" t="s">
        <v>453</v>
      </c>
      <c r="K292" t="s">
        <v>299</v>
      </c>
      <c r="L292" t="s">
        <v>248</v>
      </c>
      <c r="M292" t="s">
        <v>249</v>
      </c>
    </row>
    <row r="293" spans="10:13" x14ac:dyDescent="0.25">
      <c r="J293" t="s">
        <v>454</v>
      </c>
      <c r="K293" t="s">
        <v>252</v>
      </c>
      <c r="L293" t="s">
        <v>250</v>
      </c>
      <c r="M293" t="s">
        <v>251</v>
      </c>
    </row>
    <row r="294" spans="10:13" x14ac:dyDescent="0.25">
      <c r="J294" t="s">
        <v>455</v>
      </c>
      <c r="K294" t="s">
        <v>254</v>
      </c>
      <c r="L294" t="s">
        <v>250</v>
      </c>
      <c r="M294" t="s">
        <v>251</v>
      </c>
    </row>
    <row r="295" spans="10:13" x14ac:dyDescent="0.25">
      <c r="J295" t="s">
        <v>456</v>
      </c>
      <c r="K295" t="s">
        <v>321</v>
      </c>
      <c r="L295" t="s">
        <v>250</v>
      </c>
      <c r="M295" t="s">
        <v>251</v>
      </c>
    </row>
    <row r="296" spans="10:13" x14ac:dyDescent="0.25">
      <c r="J296" t="s">
        <v>457</v>
      </c>
      <c r="K296" t="s">
        <v>315</v>
      </c>
      <c r="L296" t="s">
        <v>250</v>
      </c>
      <c r="M296" t="s">
        <v>251</v>
      </c>
    </row>
    <row r="297" spans="10:13" x14ac:dyDescent="0.25">
      <c r="J297" t="s">
        <v>361</v>
      </c>
      <c r="K297" t="s">
        <v>361</v>
      </c>
      <c r="L297" t="s">
        <v>364</v>
      </c>
      <c r="M297" t="s">
        <v>249</v>
      </c>
    </row>
    <row r="298" spans="10:13" x14ac:dyDescent="0.25">
      <c r="J298" t="s">
        <v>458</v>
      </c>
      <c r="K298" t="s">
        <v>458</v>
      </c>
      <c r="L298" t="s">
        <v>760</v>
      </c>
      <c r="M298" t="s">
        <v>148</v>
      </c>
    </row>
    <row r="299" spans="10:13" x14ac:dyDescent="0.25">
      <c r="J299" t="s">
        <v>459</v>
      </c>
      <c r="K299" t="s">
        <v>165</v>
      </c>
      <c r="L299" t="s">
        <v>760</v>
      </c>
      <c r="M299" t="s">
        <v>148</v>
      </c>
    </row>
    <row r="300" spans="10:13" x14ac:dyDescent="0.25">
      <c r="J300" t="s">
        <v>460</v>
      </c>
      <c r="K300" t="s">
        <v>158</v>
      </c>
      <c r="L300" t="s">
        <v>760</v>
      </c>
      <c r="M300" t="s">
        <v>148</v>
      </c>
    </row>
    <row r="301" spans="10:13" x14ac:dyDescent="0.25">
      <c r="J301" t="s">
        <v>461</v>
      </c>
      <c r="K301" t="s">
        <v>168</v>
      </c>
      <c r="L301" t="s">
        <v>760</v>
      </c>
      <c r="M301" t="s">
        <v>148</v>
      </c>
    </row>
    <row r="302" spans="10:13" x14ac:dyDescent="0.25">
      <c r="J302" t="s">
        <v>462</v>
      </c>
      <c r="K302" t="s">
        <v>215</v>
      </c>
      <c r="L302" t="s">
        <v>760</v>
      </c>
      <c r="M302" t="s">
        <v>148</v>
      </c>
    </row>
    <row r="303" spans="10:13" x14ac:dyDescent="0.25">
      <c r="J303" t="s">
        <v>463</v>
      </c>
      <c r="K303" t="s">
        <v>154</v>
      </c>
      <c r="L303" t="s">
        <v>760</v>
      </c>
      <c r="M303" t="s">
        <v>148</v>
      </c>
    </row>
    <row r="304" spans="10:13" x14ac:dyDescent="0.25">
      <c r="J304" t="s">
        <v>464</v>
      </c>
      <c r="K304" t="s">
        <v>191</v>
      </c>
      <c r="L304" t="s">
        <v>760</v>
      </c>
      <c r="M304" t="s">
        <v>148</v>
      </c>
    </row>
    <row r="305" spans="10:13" x14ac:dyDescent="0.25">
      <c r="J305" t="s">
        <v>147</v>
      </c>
      <c r="K305" t="s">
        <v>147</v>
      </c>
      <c r="L305" t="s">
        <v>760</v>
      </c>
      <c r="M305" t="s">
        <v>148</v>
      </c>
    </row>
    <row r="306" spans="10:13" x14ac:dyDescent="0.25">
      <c r="J306" t="s">
        <v>220</v>
      </c>
      <c r="K306" t="s">
        <v>220</v>
      </c>
      <c r="L306" t="s">
        <v>760</v>
      </c>
      <c r="M306" t="s">
        <v>148</v>
      </c>
    </row>
    <row r="307" spans="10:13" x14ac:dyDescent="0.25">
      <c r="J307" t="s">
        <v>465</v>
      </c>
      <c r="K307" t="s">
        <v>465</v>
      </c>
      <c r="L307" t="s">
        <v>760</v>
      </c>
      <c r="M307" t="s">
        <v>148</v>
      </c>
    </row>
    <row r="308" spans="10:13" x14ac:dyDescent="0.25">
      <c r="J308" t="s">
        <v>150</v>
      </c>
      <c r="K308" t="s">
        <v>150</v>
      </c>
      <c r="L308" t="s">
        <v>760</v>
      </c>
      <c r="M308" t="s">
        <v>148</v>
      </c>
    </row>
    <row r="309" spans="10:13" x14ac:dyDescent="0.25">
      <c r="J309" t="s">
        <v>154</v>
      </c>
      <c r="K309" t="s">
        <v>154</v>
      </c>
      <c r="L309" t="s">
        <v>760</v>
      </c>
      <c r="M309" t="s">
        <v>148</v>
      </c>
    </row>
    <row r="310" spans="10:13" x14ac:dyDescent="0.25">
      <c r="J310" t="s">
        <v>209</v>
      </c>
      <c r="K310" t="s">
        <v>209</v>
      </c>
      <c r="L310" t="s">
        <v>760</v>
      </c>
      <c r="M310" t="s">
        <v>148</v>
      </c>
    </row>
    <row r="311" spans="10:13" x14ac:dyDescent="0.25">
      <c r="J311" t="s">
        <v>466</v>
      </c>
      <c r="K311" t="s">
        <v>466</v>
      </c>
      <c r="L311" t="s">
        <v>760</v>
      </c>
      <c r="M311" t="s">
        <v>148</v>
      </c>
    </row>
    <row r="312" spans="10:13" x14ac:dyDescent="0.25">
      <c r="J312" t="s">
        <v>467</v>
      </c>
      <c r="K312" t="s">
        <v>467</v>
      </c>
      <c r="L312" t="s">
        <v>760</v>
      </c>
      <c r="M312" t="s">
        <v>148</v>
      </c>
    </row>
    <row r="313" spans="10:13" x14ac:dyDescent="0.25">
      <c r="J313" t="s">
        <v>468</v>
      </c>
      <c r="K313" t="s">
        <v>468</v>
      </c>
      <c r="L313" t="s">
        <v>760</v>
      </c>
      <c r="M313" t="s">
        <v>148</v>
      </c>
    </row>
    <row r="314" spans="10:13" x14ac:dyDescent="0.25">
      <c r="J314" t="s">
        <v>215</v>
      </c>
      <c r="K314" t="s">
        <v>215</v>
      </c>
      <c r="L314" t="s">
        <v>760</v>
      </c>
      <c r="M314" t="s">
        <v>148</v>
      </c>
    </row>
    <row r="315" spans="10:13" x14ac:dyDescent="0.25">
      <c r="J315" t="s">
        <v>187</v>
      </c>
      <c r="K315" t="s">
        <v>187</v>
      </c>
      <c r="L315" t="s">
        <v>760</v>
      </c>
      <c r="M315" t="s">
        <v>148</v>
      </c>
    </row>
    <row r="316" spans="10:13" x14ac:dyDescent="0.25">
      <c r="J316" t="s">
        <v>268</v>
      </c>
      <c r="K316" t="s">
        <v>268</v>
      </c>
      <c r="L316" t="s">
        <v>248</v>
      </c>
      <c r="M316" t="s">
        <v>249</v>
      </c>
    </row>
    <row r="317" spans="10:13" x14ac:dyDescent="0.25">
      <c r="J317" t="s">
        <v>469</v>
      </c>
      <c r="K317" t="s">
        <v>253</v>
      </c>
      <c r="L317" t="s">
        <v>250</v>
      </c>
      <c r="M317" t="s">
        <v>251</v>
      </c>
    </row>
    <row r="318" spans="10:13" x14ac:dyDescent="0.25">
      <c r="J318" t="s">
        <v>470</v>
      </c>
      <c r="K318" t="s">
        <v>364</v>
      </c>
      <c r="L318" t="s">
        <v>364</v>
      </c>
      <c r="M318" t="s">
        <v>249</v>
      </c>
    </row>
    <row r="319" spans="10:13" x14ac:dyDescent="0.25">
      <c r="J319" t="s">
        <v>471</v>
      </c>
      <c r="K319" t="s">
        <v>471</v>
      </c>
      <c r="L319" t="s">
        <v>364</v>
      </c>
      <c r="M319" t="s">
        <v>249</v>
      </c>
    </row>
    <row r="320" spans="10:13" x14ac:dyDescent="0.25">
      <c r="J320" t="s">
        <v>472</v>
      </c>
      <c r="K320" t="s">
        <v>364</v>
      </c>
      <c r="L320" t="s">
        <v>364</v>
      </c>
      <c r="M320" t="s">
        <v>249</v>
      </c>
    </row>
    <row r="321" spans="10:13" x14ac:dyDescent="0.25">
      <c r="J321" t="s">
        <v>326</v>
      </c>
      <c r="K321" t="s">
        <v>326</v>
      </c>
      <c r="L321" t="s">
        <v>364</v>
      </c>
      <c r="M321" t="s">
        <v>249</v>
      </c>
    </row>
    <row r="322" spans="10:13" x14ac:dyDescent="0.25">
      <c r="J322" t="s">
        <v>473</v>
      </c>
      <c r="K322" t="s">
        <v>364</v>
      </c>
      <c r="L322" t="s">
        <v>364</v>
      </c>
      <c r="M322" t="s">
        <v>249</v>
      </c>
    </row>
    <row r="323" spans="10:13" x14ac:dyDescent="0.25">
      <c r="J323" t="s">
        <v>474</v>
      </c>
      <c r="K323" t="s">
        <v>363</v>
      </c>
      <c r="L323" t="s">
        <v>364</v>
      </c>
      <c r="M323" t="s">
        <v>249</v>
      </c>
    </row>
    <row r="324" spans="10:13" x14ac:dyDescent="0.25">
      <c r="J324" t="s">
        <v>475</v>
      </c>
      <c r="K324" t="s">
        <v>237</v>
      </c>
      <c r="L324" t="s">
        <v>237</v>
      </c>
      <c r="M324" t="s">
        <v>235</v>
      </c>
    </row>
    <row r="325" spans="10:13" x14ac:dyDescent="0.25">
      <c r="J325" t="s">
        <v>476</v>
      </c>
      <c r="K325" t="s">
        <v>237</v>
      </c>
      <c r="L325" t="s">
        <v>237</v>
      </c>
      <c r="M325" t="s">
        <v>235</v>
      </c>
    </row>
    <row r="326" spans="10:13" x14ac:dyDescent="0.25">
      <c r="J326" t="s">
        <v>477</v>
      </c>
      <c r="K326" t="s">
        <v>237</v>
      </c>
      <c r="L326" t="s">
        <v>237</v>
      </c>
      <c r="M326" t="s">
        <v>235</v>
      </c>
    </row>
    <row r="327" spans="10:13" x14ac:dyDescent="0.25">
      <c r="J327" t="s">
        <v>478</v>
      </c>
      <c r="K327" t="s">
        <v>479</v>
      </c>
      <c r="L327" t="s">
        <v>237</v>
      </c>
      <c r="M327" t="s">
        <v>148</v>
      </c>
    </row>
    <row r="328" spans="10:13" x14ac:dyDescent="0.25">
      <c r="J328" t="s">
        <v>480</v>
      </c>
      <c r="K328" t="s">
        <v>291</v>
      </c>
      <c r="L328" t="s">
        <v>237</v>
      </c>
      <c r="M328" t="s">
        <v>235</v>
      </c>
    </row>
    <row r="329" spans="10:13" x14ac:dyDescent="0.25">
      <c r="J329" t="s">
        <v>481</v>
      </c>
      <c r="K329" t="s">
        <v>290</v>
      </c>
      <c r="L329" t="s">
        <v>237</v>
      </c>
      <c r="M329" t="s">
        <v>235</v>
      </c>
    </row>
    <row r="330" spans="10:13" x14ac:dyDescent="0.25">
      <c r="J330" t="s">
        <v>79</v>
      </c>
      <c r="K330" t="s">
        <v>79</v>
      </c>
      <c r="L330" t="s">
        <v>79</v>
      </c>
      <c r="M330" t="s">
        <v>80</v>
      </c>
    </row>
    <row r="331" spans="10:13" x14ac:dyDescent="0.25">
      <c r="J331" t="s">
        <v>482</v>
      </c>
      <c r="K331" t="s">
        <v>482</v>
      </c>
      <c r="L331" t="s">
        <v>488</v>
      </c>
      <c r="M331" t="s">
        <v>148</v>
      </c>
    </row>
    <row r="332" spans="10:13" x14ac:dyDescent="0.25">
      <c r="J332" t="s">
        <v>483</v>
      </c>
      <c r="K332" t="s">
        <v>483</v>
      </c>
      <c r="L332" t="s">
        <v>488</v>
      </c>
      <c r="M332" t="s">
        <v>148</v>
      </c>
    </row>
    <row r="333" spans="10:13" x14ac:dyDescent="0.25">
      <c r="J333" t="s">
        <v>484</v>
      </c>
      <c r="K333" t="s">
        <v>485</v>
      </c>
      <c r="L333" t="s">
        <v>488</v>
      </c>
      <c r="M333" t="s">
        <v>148</v>
      </c>
    </row>
    <row r="334" spans="10:13" x14ac:dyDescent="0.25">
      <c r="J334" t="s">
        <v>486</v>
      </c>
      <c r="K334" t="s">
        <v>486</v>
      </c>
      <c r="L334" t="s">
        <v>488</v>
      </c>
      <c r="M334" t="s">
        <v>148</v>
      </c>
    </row>
    <row r="335" spans="10:13" x14ac:dyDescent="0.25">
      <c r="J335" t="s">
        <v>487</v>
      </c>
      <c r="K335" t="s">
        <v>487</v>
      </c>
      <c r="L335" t="s">
        <v>488</v>
      </c>
      <c r="M335" t="s">
        <v>148</v>
      </c>
    </row>
    <row r="336" spans="10:13" x14ac:dyDescent="0.25">
      <c r="J336" t="s">
        <v>488</v>
      </c>
      <c r="K336" t="s">
        <v>488</v>
      </c>
      <c r="L336" t="s">
        <v>488</v>
      </c>
      <c r="M336" t="s">
        <v>148</v>
      </c>
    </row>
    <row r="337" spans="10:13" x14ac:dyDescent="0.25">
      <c r="J337" t="s">
        <v>479</v>
      </c>
      <c r="K337" t="s">
        <v>479</v>
      </c>
      <c r="L337" t="s">
        <v>488</v>
      </c>
      <c r="M337" t="s">
        <v>148</v>
      </c>
    </row>
    <row r="338" spans="10:13" x14ac:dyDescent="0.25">
      <c r="J338" t="s">
        <v>485</v>
      </c>
      <c r="K338" t="s">
        <v>485</v>
      </c>
      <c r="L338" t="s">
        <v>488</v>
      </c>
      <c r="M338" t="s">
        <v>148</v>
      </c>
    </row>
    <row r="339" spans="10:13" x14ac:dyDescent="0.25">
      <c r="J339" t="s">
        <v>489</v>
      </c>
      <c r="K339" t="s">
        <v>489</v>
      </c>
      <c r="L339" t="s">
        <v>488</v>
      </c>
      <c r="M339" t="s">
        <v>148</v>
      </c>
    </row>
    <row r="340" spans="10:13" x14ac:dyDescent="0.25">
      <c r="J340" t="s">
        <v>490</v>
      </c>
      <c r="K340" t="s">
        <v>490</v>
      </c>
      <c r="L340" t="s">
        <v>488</v>
      </c>
      <c r="M340" t="s">
        <v>148</v>
      </c>
    </row>
    <row r="341" spans="10:13" x14ac:dyDescent="0.25">
      <c r="J341" t="s">
        <v>491</v>
      </c>
      <c r="K341" t="s">
        <v>491</v>
      </c>
      <c r="L341" t="s">
        <v>488</v>
      </c>
      <c r="M341" t="s">
        <v>148</v>
      </c>
    </row>
    <row r="342" spans="10:13" x14ac:dyDescent="0.25">
      <c r="J342" t="s">
        <v>492</v>
      </c>
      <c r="K342" t="s">
        <v>493</v>
      </c>
      <c r="L342" t="s">
        <v>488</v>
      </c>
      <c r="M342" t="s">
        <v>148</v>
      </c>
    </row>
    <row r="343" spans="10:13" x14ac:dyDescent="0.25">
      <c r="J343" t="s">
        <v>493</v>
      </c>
      <c r="K343" t="s">
        <v>493</v>
      </c>
      <c r="L343" t="s">
        <v>488</v>
      </c>
      <c r="M343" t="s">
        <v>148</v>
      </c>
    </row>
    <row r="344" spans="10:13" x14ac:dyDescent="0.25">
      <c r="J344" t="s">
        <v>494</v>
      </c>
      <c r="K344" t="s">
        <v>494</v>
      </c>
      <c r="L344" t="s">
        <v>488</v>
      </c>
      <c r="M344" t="s">
        <v>148</v>
      </c>
    </row>
    <row r="345" spans="10:13" x14ac:dyDescent="0.25">
      <c r="J345" t="s">
        <v>495</v>
      </c>
      <c r="K345" t="s">
        <v>495</v>
      </c>
      <c r="L345" t="s">
        <v>488</v>
      </c>
      <c r="M345" t="s">
        <v>148</v>
      </c>
    </row>
    <row r="346" spans="10:13" x14ac:dyDescent="0.25">
      <c r="J346" t="s">
        <v>496</v>
      </c>
      <c r="K346" t="s">
        <v>485</v>
      </c>
      <c r="L346" t="s">
        <v>488</v>
      </c>
      <c r="M346" t="s">
        <v>148</v>
      </c>
    </row>
    <row r="347" spans="10:13" x14ac:dyDescent="0.25">
      <c r="J347" t="s">
        <v>497</v>
      </c>
      <c r="K347" t="s">
        <v>497</v>
      </c>
      <c r="L347" t="s">
        <v>488</v>
      </c>
      <c r="M347" t="s">
        <v>148</v>
      </c>
    </row>
    <row r="348" spans="10:13" x14ac:dyDescent="0.25">
      <c r="J348" t="s">
        <v>498</v>
      </c>
      <c r="K348" t="s">
        <v>489</v>
      </c>
      <c r="L348" t="s">
        <v>488</v>
      </c>
      <c r="M348" t="s">
        <v>148</v>
      </c>
    </row>
    <row r="349" spans="10:13" x14ac:dyDescent="0.25">
      <c r="J349" t="s">
        <v>499</v>
      </c>
      <c r="K349" t="s">
        <v>499</v>
      </c>
      <c r="L349" t="s">
        <v>488</v>
      </c>
      <c r="M349" t="s">
        <v>148</v>
      </c>
    </row>
    <row r="350" spans="10:13" x14ac:dyDescent="0.25">
      <c r="J350" t="s">
        <v>500</v>
      </c>
      <c r="K350" t="s">
        <v>500</v>
      </c>
      <c r="L350" t="s">
        <v>488</v>
      </c>
      <c r="M350" t="s">
        <v>148</v>
      </c>
    </row>
    <row r="351" spans="10:13" x14ac:dyDescent="0.25">
      <c r="J351" t="s">
        <v>501</v>
      </c>
      <c r="K351" t="s">
        <v>501</v>
      </c>
      <c r="L351" t="s">
        <v>488</v>
      </c>
      <c r="M351" t="s">
        <v>148</v>
      </c>
    </row>
    <row r="352" spans="10:13" x14ac:dyDescent="0.25">
      <c r="J352" t="s">
        <v>502</v>
      </c>
      <c r="K352" t="s">
        <v>502</v>
      </c>
      <c r="L352" t="s">
        <v>488</v>
      </c>
      <c r="M352" t="s">
        <v>148</v>
      </c>
    </row>
    <row r="353" spans="10:13" x14ac:dyDescent="0.25">
      <c r="J353" t="s">
        <v>503</v>
      </c>
      <c r="K353" t="s">
        <v>503</v>
      </c>
      <c r="L353" t="s">
        <v>488</v>
      </c>
      <c r="M353" t="s">
        <v>148</v>
      </c>
    </row>
    <row r="354" spans="10:13" x14ac:dyDescent="0.25">
      <c r="J354" t="s">
        <v>504</v>
      </c>
      <c r="K354" t="s">
        <v>487</v>
      </c>
      <c r="L354" t="s">
        <v>488</v>
      </c>
      <c r="M354" t="s">
        <v>148</v>
      </c>
    </row>
    <row r="355" spans="10:13" x14ac:dyDescent="0.25">
      <c r="J355" t="s">
        <v>505</v>
      </c>
      <c r="K355" t="s">
        <v>505</v>
      </c>
      <c r="L355" t="s">
        <v>488</v>
      </c>
      <c r="M355" t="s">
        <v>148</v>
      </c>
    </row>
    <row r="356" spans="10:13" x14ac:dyDescent="0.25">
      <c r="J356" t="s">
        <v>506</v>
      </c>
      <c r="K356" t="s">
        <v>487</v>
      </c>
      <c r="L356" t="s">
        <v>488</v>
      </c>
      <c r="M356" t="s">
        <v>148</v>
      </c>
    </row>
    <row r="357" spans="10:13" x14ac:dyDescent="0.25">
      <c r="J357" t="s">
        <v>507</v>
      </c>
      <c r="K357" t="s">
        <v>500</v>
      </c>
      <c r="L357" t="s">
        <v>488</v>
      </c>
      <c r="M357" t="s">
        <v>148</v>
      </c>
    </row>
    <row r="358" spans="10:13" x14ac:dyDescent="0.25">
      <c r="J358" t="s">
        <v>508</v>
      </c>
      <c r="K358" t="s">
        <v>508</v>
      </c>
      <c r="L358" t="s">
        <v>488</v>
      </c>
      <c r="M358" t="s">
        <v>148</v>
      </c>
    </row>
    <row r="359" spans="10:13" x14ac:dyDescent="0.25">
      <c r="J359" t="s">
        <v>509</v>
      </c>
      <c r="K359" t="s">
        <v>493</v>
      </c>
      <c r="L359" t="s">
        <v>488</v>
      </c>
      <c r="M359" t="s">
        <v>148</v>
      </c>
    </row>
    <row r="360" spans="10:13" x14ac:dyDescent="0.25">
      <c r="J360" t="s">
        <v>510</v>
      </c>
      <c r="K360" t="s">
        <v>501</v>
      </c>
      <c r="L360" t="s">
        <v>488</v>
      </c>
      <c r="M360" t="s">
        <v>148</v>
      </c>
    </row>
    <row r="361" spans="10:13" x14ac:dyDescent="0.25">
      <c r="J361" t="s">
        <v>511</v>
      </c>
      <c r="K361" t="s">
        <v>479</v>
      </c>
      <c r="L361" t="s">
        <v>488</v>
      </c>
      <c r="M361" t="s">
        <v>148</v>
      </c>
    </row>
    <row r="362" spans="10:13" x14ac:dyDescent="0.25">
      <c r="J362" t="s">
        <v>512</v>
      </c>
      <c r="K362" t="s">
        <v>497</v>
      </c>
      <c r="L362" t="s">
        <v>488</v>
      </c>
      <c r="M362" t="s">
        <v>148</v>
      </c>
    </row>
    <row r="363" spans="10:13" x14ac:dyDescent="0.25">
      <c r="J363" t="s">
        <v>513</v>
      </c>
      <c r="K363" t="s">
        <v>483</v>
      </c>
      <c r="L363" t="s">
        <v>488</v>
      </c>
      <c r="M363" t="s">
        <v>148</v>
      </c>
    </row>
    <row r="364" spans="10:13" x14ac:dyDescent="0.25">
      <c r="J364" t="s">
        <v>514</v>
      </c>
      <c r="K364" t="s">
        <v>402</v>
      </c>
      <c r="L364" t="s">
        <v>537</v>
      </c>
      <c r="M364" t="s">
        <v>235</v>
      </c>
    </row>
    <row r="365" spans="10:13" x14ac:dyDescent="0.25">
      <c r="J365" t="s">
        <v>515</v>
      </c>
      <c r="K365" t="s">
        <v>516</v>
      </c>
      <c r="L365" t="s">
        <v>537</v>
      </c>
      <c r="M365" t="s">
        <v>235</v>
      </c>
    </row>
    <row r="366" spans="10:13" x14ac:dyDescent="0.25">
      <c r="J366" t="s">
        <v>517</v>
      </c>
      <c r="K366" t="s">
        <v>518</v>
      </c>
      <c r="L366" t="s">
        <v>537</v>
      </c>
      <c r="M366" t="s">
        <v>235</v>
      </c>
    </row>
    <row r="367" spans="10:13" x14ac:dyDescent="0.25">
      <c r="J367" t="s">
        <v>519</v>
      </c>
      <c r="K367" t="s">
        <v>520</v>
      </c>
      <c r="L367" t="s">
        <v>537</v>
      </c>
      <c r="M367" t="s">
        <v>235</v>
      </c>
    </row>
    <row r="368" spans="10:13" x14ac:dyDescent="0.25">
      <c r="J368" t="s">
        <v>521</v>
      </c>
      <c r="K368" t="s">
        <v>402</v>
      </c>
      <c r="L368" t="s">
        <v>537</v>
      </c>
      <c r="M368" t="s">
        <v>235</v>
      </c>
    </row>
    <row r="369" spans="10:13" x14ac:dyDescent="0.25">
      <c r="J369" t="s">
        <v>522</v>
      </c>
      <c r="K369" t="s">
        <v>523</v>
      </c>
      <c r="L369" t="s">
        <v>537</v>
      </c>
      <c r="M369" t="s">
        <v>235</v>
      </c>
    </row>
    <row r="370" spans="10:13" x14ac:dyDescent="0.25">
      <c r="J370" t="s">
        <v>524</v>
      </c>
      <c r="K370" t="s">
        <v>525</v>
      </c>
      <c r="L370" t="s">
        <v>537</v>
      </c>
      <c r="M370" t="s">
        <v>235</v>
      </c>
    </row>
    <row r="371" spans="10:13" x14ac:dyDescent="0.25">
      <c r="J371" t="s">
        <v>526</v>
      </c>
      <c r="K371" t="s">
        <v>525</v>
      </c>
      <c r="L371" t="s">
        <v>537</v>
      </c>
      <c r="M371" t="s">
        <v>235</v>
      </c>
    </row>
    <row r="372" spans="10:13" x14ac:dyDescent="0.25">
      <c r="J372" t="s">
        <v>527</v>
      </c>
      <c r="K372" t="s">
        <v>518</v>
      </c>
      <c r="L372" t="s">
        <v>537</v>
      </c>
      <c r="M372" t="s">
        <v>235</v>
      </c>
    </row>
    <row r="373" spans="10:13" x14ac:dyDescent="0.25">
      <c r="J373" t="s">
        <v>528</v>
      </c>
      <c r="K373" t="s">
        <v>529</v>
      </c>
      <c r="L373" t="s">
        <v>537</v>
      </c>
      <c r="M373" t="s">
        <v>235</v>
      </c>
    </row>
    <row r="374" spans="10:13" x14ac:dyDescent="0.25">
      <c r="J374" t="s">
        <v>530</v>
      </c>
      <c r="K374" t="s">
        <v>518</v>
      </c>
      <c r="L374" t="s">
        <v>537</v>
      </c>
      <c r="M374" t="s">
        <v>235</v>
      </c>
    </row>
    <row r="375" spans="10:13" x14ac:dyDescent="0.25">
      <c r="J375" t="s">
        <v>531</v>
      </c>
      <c r="K375" t="s">
        <v>402</v>
      </c>
      <c r="L375" t="s">
        <v>537</v>
      </c>
      <c r="M375" t="s">
        <v>235</v>
      </c>
    </row>
    <row r="376" spans="10:13" x14ac:dyDescent="0.25">
      <c r="J376" t="s">
        <v>532</v>
      </c>
      <c r="K376" t="s">
        <v>532</v>
      </c>
      <c r="L376" t="s">
        <v>537</v>
      </c>
      <c r="M376" t="s">
        <v>235</v>
      </c>
    </row>
    <row r="377" spans="10:13" x14ac:dyDescent="0.25">
      <c r="J377" t="s">
        <v>533</v>
      </c>
      <c r="K377" t="s">
        <v>534</v>
      </c>
      <c r="L377" t="s">
        <v>537</v>
      </c>
      <c r="M377" t="s">
        <v>235</v>
      </c>
    </row>
    <row r="378" spans="10:13" x14ac:dyDescent="0.25">
      <c r="J378" t="s">
        <v>535</v>
      </c>
      <c r="K378" t="s">
        <v>535</v>
      </c>
      <c r="L378" t="s">
        <v>537</v>
      </c>
      <c r="M378" t="s">
        <v>235</v>
      </c>
    </row>
    <row r="379" spans="10:13" x14ac:dyDescent="0.25">
      <c r="J379" t="s">
        <v>536</v>
      </c>
      <c r="K379" t="s">
        <v>537</v>
      </c>
      <c r="L379" t="s">
        <v>537</v>
      </c>
      <c r="M379" t="s">
        <v>235</v>
      </c>
    </row>
    <row r="380" spans="10:13" x14ac:dyDescent="0.25">
      <c r="J380" t="s">
        <v>538</v>
      </c>
      <c r="K380" t="s">
        <v>538</v>
      </c>
      <c r="L380" t="s">
        <v>537</v>
      </c>
      <c r="M380" t="s">
        <v>235</v>
      </c>
    </row>
    <row r="381" spans="10:13" x14ac:dyDescent="0.25">
      <c r="J381" t="s">
        <v>525</v>
      </c>
      <c r="K381" t="s">
        <v>525</v>
      </c>
      <c r="L381" t="s">
        <v>537</v>
      </c>
      <c r="M381" t="s">
        <v>235</v>
      </c>
    </row>
    <row r="382" spans="10:13" x14ac:dyDescent="0.25">
      <c r="J382" t="s">
        <v>518</v>
      </c>
      <c r="K382" t="s">
        <v>518</v>
      </c>
      <c r="L382" t="s">
        <v>537</v>
      </c>
      <c r="M382" t="s">
        <v>235</v>
      </c>
    </row>
    <row r="383" spans="10:13" x14ac:dyDescent="0.25">
      <c r="J383" t="s">
        <v>537</v>
      </c>
      <c r="K383" t="s">
        <v>537</v>
      </c>
      <c r="L383" t="s">
        <v>537</v>
      </c>
      <c r="M383" t="s">
        <v>235</v>
      </c>
    </row>
    <row r="384" spans="10:13" x14ac:dyDescent="0.25">
      <c r="J384" t="s">
        <v>539</v>
      </c>
      <c r="K384" t="s">
        <v>539</v>
      </c>
      <c r="L384" t="s">
        <v>537</v>
      </c>
      <c r="M384" t="s">
        <v>235</v>
      </c>
    </row>
    <row r="385" spans="10:13" x14ac:dyDescent="0.25">
      <c r="J385" t="s">
        <v>540</v>
      </c>
      <c r="K385" t="s">
        <v>540</v>
      </c>
      <c r="L385" t="s">
        <v>537</v>
      </c>
      <c r="M385" t="s">
        <v>235</v>
      </c>
    </row>
    <row r="386" spans="10:13" x14ac:dyDescent="0.25">
      <c r="J386" t="s">
        <v>523</v>
      </c>
      <c r="K386" t="s">
        <v>523</v>
      </c>
      <c r="L386" t="s">
        <v>537</v>
      </c>
      <c r="M386" t="s">
        <v>235</v>
      </c>
    </row>
    <row r="387" spans="10:13" x14ac:dyDescent="0.25">
      <c r="J387" t="s">
        <v>541</v>
      </c>
      <c r="K387" t="s">
        <v>541</v>
      </c>
      <c r="L387" t="s">
        <v>537</v>
      </c>
      <c r="M387" t="s">
        <v>235</v>
      </c>
    </row>
    <row r="388" spans="10:13" x14ac:dyDescent="0.25">
      <c r="J388" t="s">
        <v>542</v>
      </c>
      <c r="K388" t="s">
        <v>542</v>
      </c>
      <c r="L388" t="s">
        <v>537</v>
      </c>
      <c r="M388" t="s">
        <v>235</v>
      </c>
    </row>
    <row r="389" spans="10:13" x14ac:dyDescent="0.25">
      <c r="J389" t="s">
        <v>543</v>
      </c>
      <c r="K389" t="s">
        <v>543</v>
      </c>
      <c r="L389" t="s">
        <v>537</v>
      </c>
      <c r="M389" t="s">
        <v>235</v>
      </c>
    </row>
    <row r="390" spans="10:13" x14ac:dyDescent="0.25">
      <c r="J390" t="s">
        <v>544</v>
      </c>
      <c r="K390" t="s">
        <v>544</v>
      </c>
      <c r="L390" t="s">
        <v>537</v>
      </c>
      <c r="M390" t="s">
        <v>235</v>
      </c>
    </row>
    <row r="391" spans="10:13" x14ac:dyDescent="0.25">
      <c r="J391" t="s">
        <v>520</v>
      </c>
      <c r="K391" t="s">
        <v>520</v>
      </c>
      <c r="L391" t="s">
        <v>537</v>
      </c>
      <c r="M391" t="s">
        <v>235</v>
      </c>
    </row>
    <row r="392" spans="10:13" x14ac:dyDescent="0.25">
      <c r="J392" t="s">
        <v>545</v>
      </c>
      <c r="K392" t="s">
        <v>545</v>
      </c>
      <c r="L392" t="s">
        <v>537</v>
      </c>
      <c r="M392" t="s">
        <v>235</v>
      </c>
    </row>
    <row r="393" spans="10:13" x14ac:dyDescent="0.25">
      <c r="J393" t="s">
        <v>529</v>
      </c>
      <c r="K393" t="s">
        <v>529</v>
      </c>
      <c r="L393" t="s">
        <v>537</v>
      </c>
      <c r="M393" t="s">
        <v>235</v>
      </c>
    </row>
    <row r="394" spans="10:13" x14ac:dyDescent="0.25">
      <c r="J394" t="s">
        <v>273</v>
      </c>
      <c r="K394" t="s">
        <v>273</v>
      </c>
      <c r="L394" t="s">
        <v>537</v>
      </c>
      <c r="M394" t="s">
        <v>235</v>
      </c>
    </row>
    <row r="395" spans="10:13" x14ac:dyDescent="0.25">
      <c r="J395" t="s">
        <v>546</v>
      </c>
      <c r="K395" t="s">
        <v>546</v>
      </c>
      <c r="L395" t="s">
        <v>537</v>
      </c>
      <c r="M395" t="s">
        <v>235</v>
      </c>
    </row>
    <row r="396" spans="10:13" x14ac:dyDescent="0.25">
      <c r="J396" t="s">
        <v>547</v>
      </c>
      <c r="K396" t="s">
        <v>547</v>
      </c>
      <c r="L396" t="s">
        <v>537</v>
      </c>
      <c r="M396" t="s">
        <v>235</v>
      </c>
    </row>
    <row r="397" spans="10:13" x14ac:dyDescent="0.25">
      <c r="J397" t="s">
        <v>548</v>
      </c>
      <c r="K397" t="s">
        <v>548</v>
      </c>
      <c r="L397" t="s">
        <v>537</v>
      </c>
      <c r="M397" t="s">
        <v>235</v>
      </c>
    </row>
    <row r="398" spans="10:13" x14ac:dyDescent="0.25">
      <c r="J398" t="s">
        <v>549</v>
      </c>
      <c r="K398" t="s">
        <v>549</v>
      </c>
      <c r="L398" t="s">
        <v>537</v>
      </c>
      <c r="M398" t="s">
        <v>235</v>
      </c>
    </row>
    <row r="399" spans="10:13" x14ac:dyDescent="0.25">
      <c r="J399" t="s">
        <v>550</v>
      </c>
      <c r="K399" t="s">
        <v>550</v>
      </c>
      <c r="L399" t="s">
        <v>537</v>
      </c>
      <c r="M399" t="s">
        <v>235</v>
      </c>
    </row>
    <row r="400" spans="10:13" x14ac:dyDescent="0.25">
      <c r="J400" t="s">
        <v>551</v>
      </c>
      <c r="K400" t="s">
        <v>552</v>
      </c>
      <c r="L400" t="s">
        <v>537</v>
      </c>
      <c r="M400" t="s">
        <v>235</v>
      </c>
    </row>
    <row r="401" spans="10:13" x14ac:dyDescent="0.25">
      <c r="J401" t="s">
        <v>553</v>
      </c>
      <c r="K401" t="s">
        <v>553</v>
      </c>
      <c r="L401" t="s">
        <v>537</v>
      </c>
      <c r="M401" t="s">
        <v>235</v>
      </c>
    </row>
    <row r="402" spans="10:13" x14ac:dyDescent="0.25">
      <c r="J402" t="s">
        <v>554</v>
      </c>
      <c r="K402" t="s">
        <v>555</v>
      </c>
      <c r="L402" t="s">
        <v>537</v>
      </c>
      <c r="M402" t="s">
        <v>235</v>
      </c>
    </row>
    <row r="403" spans="10:13" x14ac:dyDescent="0.25">
      <c r="J403" t="s">
        <v>556</v>
      </c>
      <c r="K403" t="s">
        <v>556</v>
      </c>
      <c r="L403" t="s">
        <v>537</v>
      </c>
      <c r="M403" t="s">
        <v>235</v>
      </c>
    </row>
    <row r="404" spans="10:13" x14ac:dyDescent="0.25">
      <c r="J404" t="s">
        <v>557</v>
      </c>
      <c r="K404" t="s">
        <v>557</v>
      </c>
      <c r="L404" t="s">
        <v>537</v>
      </c>
      <c r="M404" t="s">
        <v>235</v>
      </c>
    </row>
    <row r="405" spans="10:13" x14ac:dyDescent="0.25">
      <c r="J405" t="s">
        <v>558</v>
      </c>
      <c r="K405" t="s">
        <v>558</v>
      </c>
      <c r="L405" t="s">
        <v>537</v>
      </c>
      <c r="M405" t="s">
        <v>235</v>
      </c>
    </row>
    <row r="406" spans="10:13" x14ac:dyDescent="0.25">
      <c r="J406" t="s">
        <v>559</v>
      </c>
      <c r="K406" t="s">
        <v>559</v>
      </c>
      <c r="L406" t="s">
        <v>537</v>
      </c>
      <c r="M406" t="s">
        <v>235</v>
      </c>
    </row>
    <row r="407" spans="10:13" x14ac:dyDescent="0.25">
      <c r="J407" t="s">
        <v>560</v>
      </c>
      <c r="K407" t="s">
        <v>548</v>
      </c>
      <c r="L407" t="s">
        <v>537</v>
      </c>
      <c r="M407" t="s">
        <v>235</v>
      </c>
    </row>
    <row r="408" spans="10:13" x14ac:dyDescent="0.25">
      <c r="J408" t="s">
        <v>561</v>
      </c>
      <c r="K408" t="s">
        <v>537</v>
      </c>
      <c r="L408" t="s">
        <v>537</v>
      </c>
      <c r="M408" t="s">
        <v>235</v>
      </c>
    </row>
    <row r="409" spans="10:13" x14ac:dyDescent="0.25">
      <c r="J409" t="s">
        <v>562</v>
      </c>
      <c r="K409" t="s">
        <v>538</v>
      </c>
      <c r="L409" t="s">
        <v>537</v>
      </c>
      <c r="M409" t="s">
        <v>235</v>
      </c>
    </row>
    <row r="410" spans="10:13" x14ac:dyDescent="0.25">
      <c r="J410" t="s">
        <v>563</v>
      </c>
      <c r="K410" t="s">
        <v>538</v>
      </c>
      <c r="L410" t="s">
        <v>537</v>
      </c>
      <c r="M410" t="s">
        <v>235</v>
      </c>
    </row>
    <row r="411" spans="10:13" x14ac:dyDescent="0.25">
      <c r="J411" t="s">
        <v>564</v>
      </c>
      <c r="K411" t="s">
        <v>564</v>
      </c>
      <c r="L411" t="s">
        <v>537</v>
      </c>
      <c r="M411" t="s">
        <v>235</v>
      </c>
    </row>
    <row r="412" spans="10:13" x14ac:dyDescent="0.25">
      <c r="J412" t="s">
        <v>565</v>
      </c>
      <c r="K412" t="s">
        <v>565</v>
      </c>
      <c r="L412" t="s">
        <v>537</v>
      </c>
      <c r="M412" t="s">
        <v>235</v>
      </c>
    </row>
    <row r="413" spans="10:13" x14ac:dyDescent="0.25">
      <c r="J413" t="s">
        <v>534</v>
      </c>
      <c r="K413" t="s">
        <v>534</v>
      </c>
      <c r="L413" t="s">
        <v>537</v>
      </c>
      <c r="M413" t="s">
        <v>235</v>
      </c>
    </row>
    <row r="414" spans="10:13" x14ac:dyDescent="0.25">
      <c r="J414" t="s">
        <v>516</v>
      </c>
      <c r="K414" t="s">
        <v>516</v>
      </c>
      <c r="L414" t="s">
        <v>537</v>
      </c>
      <c r="M414" t="s">
        <v>235</v>
      </c>
    </row>
    <row r="415" spans="10:13" x14ac:dyDescent="0.25">
      <c r="J415" t="s">
        <v>555</v>
      </c>
      <c r="K415" t="s">
        <v>555</v>
      </c>
      <c r="L415" t="s">
        <v>537</v>
      </c>
      <c r="M415" t="s">
        <v>235</v>
      </c>
    </row>
    <row r="416" spans="10:13" x14ac:dyDescent="0.25">
      <c r="J416" t="s">
        <v>402</v>
      </c>
      <c r="K416" t="s">
        <v>402</v>
      </c>
      <c r="L416" t="s">
        <v>537</v>
      </c>
      <c r="M416" t="s">
        <v>235</v>
      </c>
    </row>
    <row r="417" spans="10:13" x14ac:dyDescent="0.25">
      <c r="J417" t="s">
        <v>566</v>
      </c>
      <c r="K417" t="s">
        <v>566</v>
      </c>
      <c r="L417" t="s">
        <v>537</v>
      </c>
      <c r="M417" t="s">
        <v>235</v>
      </c>
    </row>
    <row r="418" spans="10:13" x14ac:dyDescent="0.25">
      <c r="J418" t="s">
        <v>552</v>
      </c>
      <c r="K418" t="s">
        <v>552</v>
      </c>
      <c r="L418" t="s">
        <v>537</v>
      </c>
      <c r="M418" t="s">
        <v>235</v>
      </c>
    </row>
    <row r="419" spans="10:13" x14ac:dyDescent="0.25">
      <c r="J419" t="s">
        <v>567</v>
      </c>
      <c r="K419" t="s">
        <v>567</v>
      </c>
      <c r="L419" t="s">
        <v>537</v>
      </c>
      <c r="M419" t="s">
        <v>235</v>
      </c>
    </row>
    <row r="420" spans="10:13" x14ac:dyDescent="0.25">
      <c r="J420" t="s">
        <v>568</v>
      </c>
      <c r="K420" t="s">
        <v>558</v>
      </c>
      <c r="L420" t="s">
        <v>537</v>
      </c>
      <c r="M420" t="s">
        <v>235</v>
      </c>
    </row>
    <row r="421" spans="10:13" x14ac:dyDescent="0.25">
      <c r="J421" t="s">
        <v>569</v>
      </c>
      <c r="K421" t="s">
        <v>539</v>
      </c>
      <c r="L421" t="s">
        <v>537</v>
      </c>
      <c r="M421" t="s">
        <v>235</v>
      </c>
    </row>
    <row r="422" spans="10:13" x14ac:dyDescent="0.25">
      <c r="J422" t="s">
        <v>570</v>
      </c>
      <c r="K422" t="s">
        <v>570</v>
      </c>
      <c r="L422" t="s">
        <v>537</v>
      </c>
      <c r="M422" t="s">
        <v>235</v>
      </c>
    </row>
    <row r="423" spans="10:13" x14ac:dyDescent="0.25">
      <c r="J423" t="s">
        <v>571</v>
      </c>
      <c r="K423" t="s">
        <v>544</v>
      </c>
      <c r="L423" t="s">
        <v>537</v>
      </c>
      <c r="M423" t="s">
        <v>235</v>
      </c>
    </row>
    <row r="424" spans="10:13" x14ac:dyDescent="0.25">
      <c r="J424" t="s">
        <v>572</v>
      </c>
      <c r="K424" t="s">
        <v>548</v>
      </c>
      <c r="L424" t="s">
        <v>537</v>
      </c>
      <c r="M424" t="s">
        <v>235</v>
      </c>
    </row>
    <row r="425" spans="10:13" x14ac:dyDescent="0.25">
      <c r="J425" t="s">
        <v>573</v>
      </c>
      <c r="K425" t="s">
        <v>402</v>
      </c>
      <c r="L425" t="s">
        <v>537</v>
      </c>
      <c r="M425" t="s">
        <v>235</v>
      </c>
    </row>
    <row r="426" spans="10:13" x14ac:dyDescent="0.25">
      <c r="J426" t="s">
        <v>574</v>
      </c>
      <c r="K426" t="s">
        <v>564</v>
      </c>
      <c r="L426" t="s">
        <v>537</v>
      </c>
      <c r="M426" t="s">
        <v>235</v>
      </c>
    </row>
    <row r="427" spans="10:13" x14ac:dyDescent="0.25">
      <c r="J427" t="s">
        <v>575</v>
      </c>
      <c r="K427" t="s">
        <v>532</v>
      </c>
      <c r="L427" t="s">
        <v>537</v>
      </c>
      <c r="M427" t="s">
        <v>235</v>
      </c>
    </row>
    <row r="428" spans="10:13" x14ac:dyDescent="0.25">
      <c r="J428" t="s">
        <v>576</v>
      </c>
      <c r="K428" t="s">
        <v>402</v>
      </c>
      <c r="L428" t="s">
        <v>537</v>
      </c>
      <c r="M428" t="s">
        <v>235</v>
      </c>
    </row>
    <row r="429" spans="10:13" x14ac:dyDescent="0.25">
      <c r="J429" t="s">
        <v>577</v>
      </c>
      <c r="K429" t="s">
        <v>402</v>
      </c>
      <c r="L429" t="s">
        <v>537</v>
      </c>
      <c r="M429" t="s">
        <v>235</v>
      </c>
    </row>
    <row r="430" spans="10:13" x14ac:dyDescent="0.25">
      <c r="J430" t="s">
        <v>578</v>
      </c>
      <c r="K430" t="s">
        <v>545</v>
      </c>
      <c r="L430" t="s">
        <v>537</v>
      </c>
      <c r="M430" t="s">
        <v>235</v>
      </c>
    </row>
    <row r="431" spans="10:13" x14ac:dyDescent="0.25">
      <c r="J431" t="s">
        <v>579</v>
      </c>
      <c r="K431" t="s">
        <v>537</v>
      </c>
      <c r="L431" t="s">
        <v>537</v>
      </c>
      <c r="M431" t="s">
        <v>235</v>
      </c>
    </row>
    <row r="432" spans="10:13" x14ac:dyDescent="0.25">
      <c r="J432" t="s">
        <v>580</v>
      </c>
      <c r="K432" t="s">
        <v>402</v>
      </c>
      <c r="L432" t="s">
        <v>537</v>
      </c>
      <c r="M432" t="s">
        <v>235</v>
      </c>
    </row>
    <row r="433" spans="10:13" x14ac:dyDescent="0.25">
      <c r="J433" t="s">
        <v>581</v>
      </c>
      <c r="K433" t="s">
        <v>549</v>
      </c>
      <c r="L433" t="s">
        <v>537</v>
      </c>
      <c r="M433" t="s">
        <v>235</v>
      </c>
    </row>
    <row r="434" spans="10:13" x14ac:dyDescent="0.25">
      <c r="J434" t="s">
        <v>582</v>
      </c>
      <c r="K434" t="s">
        <v>549</v>
      </c>
      <c r="L434" t="s">
        <v>537</v>
      </c>
      <c r="M434" t="s">
        <v>235</v>
      </c>
    </row>
    <row r="435" spans="10:13" x14ac:dyDescent="0.25">
      <c r="J435" t="s">
        <v>583</v>
      </c>
      <c r="K435" t="s">
        <v>549</v>
      </c>
      <c r="L435" t="s">
        <v>537</v>
      </c>
      <c r="M435" t="s">
        <v>235</v>
      </c>
    </row>
    <row r="436" spans="10:13" x14ac:dyDescent="0.25">
      <c r="J436" t="s">
        <v>584</v>
      </c>
      <c r="K436" t="s">
        <v>549</v>
      </c>
      <c r="L436" t="s">
        <v>537</v>
      </c>
      <c r="M436" t="s">
        <v>235</v>
      </c>
    </row>
    <row r="437" spans="10:13" x14ac:dyDescent="0.25">
      <c r="J437" t="s">
        <v>585</v>
      </c>
      <c r="K437" t="s">
        <v>534</v>
      </c>
      <c r="L437" t="s">
        <v>537</v>
      </c>
      <c r="M437" t="s">
        <v>235</v>
      </c>
    </row>
    <row r="438" spans="10:13" x14ac:dyDescent="0.25">
      <c r="J438" t="s">
        <v>586</v>
      </c>
      <c r="K438" t="s">
        <v>534</v>
      </c>
      <c r="L438" t="s">
        <v>537</v>
      </c>
      <c r="M438" t="s">
        <v>235</v>
      </c>
    </row>
    <row r="439" spans="10:13" x14ac:dyDescent="0.25">
      <c r="J439" t="s">
        <v>587</v>
      </c>
      <c r="K439" t="s">
        <v>534</v>
      </c>
      <c r="L439" t="s">
        <v>537</v>
      </c>
      <c r="M439" t="s">
        <v>235</v>
      </c>
    </row>
    <row r="440" spans="10:13" x14ac:dyDescent="0.25">
      <c r="J440" t="s">
        <v>588</v>
      </c>
      <c r="K440" t="s">
        <v>545</v>
      </c>
      <c r="L440" t="s">
        <v>537</v>
      </c>
      <c r="M440" t="s">
        <v>235</v>
      </c>
    </row>
    <row r="441" spans="10:13" x14ac:dyDescent="0.25">
      <c r="J441" t="s">
        <v>589</v>
      </c>
      <c r="K441" t="s">
        <v>273</v>
      </c>
      <c r="L441" t="s">
        <v>537</v>
      </c>
      <c r="M441" t="s">
        <v>235</v>
      </c>
    </row>
    <row r="442" spans="10:13" x14ac:dyDescent="0.25">
      <c r="J442" t="s">
        <v>590</v>
      </c>
      <c r="K442" t="s">
        <v>273</v>
      </c>
      <c r="L442" t="s">
        <v>537</v>
      </c>
      <c r="M442" t="s">
        <v>235</v>
      </c>
    </row>
    <row r="443" spans="10:13" x14ac:dyDescent="0.25">
      <c r="J443" t="s">
        <v>591</v>
      </c>
      <c r="K443" t="s">
        <v>538</v>
      </c>
      <c r="L443" t="s">
        <v>537</v>
      </c>
      <c r="M443" t="s">
        <v>235</v>
      </c>
    </row>
    <row r="444" spans="10:13" x14ac:dyDescent="0.25">
      <c r="J444" t="s">
        <v>592</v>
      </c>
      <c r="K444" t="s">
        <v>534</v>
      </c>
      <c r="L444" t="s">
        <v>537</v>
      </c>
      <c r="M444" t="s">
        <v>235</v>
      </c>
    </row>
    <row r="445" spans="10:13" x14ac:dyDescent="0.25">
      <c r="J445" t="s">
        <v>593</v>
      </c>
      <c r="K445" t="s">
        <v>593</v>
      </c>
      <c r="L445" t="s">
        <v>631</v>
      </c>
      <c r="M445" t="s">
        <v>251</v>
      </c>
    </row>
    <row r="446" spans="10:13" x14ac:dyDescent="0.25">
      <c r="J446" t="s">
        <v>594</v>
      </c>
      <c r="K446" t="s">
        <v>594</v>
      </c>
      <c r="L446" t="s">
        <v>631</v>
      </c>
      <c r="M446" t="s">
        <v>251</v>
      </c>
    </row>
    <row r="447" spans="10:13" x14ac:dyDescent="0.25">
      <c r="J447" t="s">
        <v>595</v>
      </c>
      <c r="K447" t="s">
        <v>595</v>
      </c>
      <c r="L447" t="s">
        <v>631</v>
      </c>
      <c r="M447" t="s">
        <v>251</v>
      </c>
    </row>
    <row r="448" spans="10:13" x14ac:dyDescent="0.25">
      <c r="J448" t="s">
        <v>596</v>
      </c>
      <c r="K448" t="s">
        <v>596</v>
      </c>
      <c r="L448" t="s">
        <v>631</v>
      </c>
      <c r="M448" t="s">
        <v>251</v>
      </c>
    </row>
    <row r="449" spans="10:13" x14ac:dyDescent="0.25">
      <c r="J449" t="s">
        <v>597</v>
      </c>
      <c r="K449" t="s">
        <v>597</v>
      </c>
      <c r="L449" t="s">
        <v>631</v>
      </c>
      <c r="M449" t="s">
        <v>251</v>
      </c>
    </row>
    <row r="450" spans="10:13" x14ac:dyDescent="0.25">
      <c r="J450" t="s">
        <v>598</v>
      </c>
      <c r="K450" t="s">
        <v>599</v>
      </c>
      <c r="L450" t="s">
        <v>631</v>
      </c>
      <c r="M450" t="s">
        <v>251</v>
      </c>
    </row>
    <row r="451" spans="10:13" x14ac:dyDescent="0.25">
      <c r="J451" t="s">
        <v>600</v>
      </c>
      <c r="K451" t="s">
        <v>601</v>
      </c>
      <c r="L451" t="s">
        <v>631</v>
      </c>
      <c r="M451" t="s">
        <v>251</v>
      </c>
    </row>
    <row r="452" spans="10:13" x14ac:dyDescent="0.25">
      <c r="J452" t="s">
        <v>602</v>
      </c>
      <c r="K452" t="s">
        <v>603</v>
      </c>
      <c r="L452" t="s">
        <v>631</v>
      </c>
      <c r="M452" t="s">
        <v>251</v>
      </c>
    </row>
    <row r="453" spans="10:13" x14ac:dyDescent="0.25">
      <c r="J453" t="s">
        <v>604</v>
      </c>
      <c r="K453" t="s">
        <v>596</v>
      </c>
      <c r="L453" t="s">
        <v>631</v>
      </c>
      <c r="M453" t="s">
        <v>251</v>
      </c>
    </row>
    <row r="454" spans="10:13" x14ac:dyDescent="0.25">
      <c r="J454" t="s">
        <v>594</v>
      </c>
      <c r="K454" t="s">
        <v>594</v>
      </c>
      <c r="L454" t="s">
        <v>631</v>
      </c>
      <c r="M454" t="s">
        <v>251</v>
      </c>
    </row>
    <row r="455" spans="10:13" x14ac:dyDescent="0.25">
      <c r="J455" t="s">
        <v>595</v>
      </c>
      <c r="K455" t="s">
        <v>595</v>
      </c>
      <c r="L455" t="s">
        <v>631</v>
      </c>
      <c r="M455" t="s">
        <v>251</v>
      </c>
    </row>
    <row r="456" spans="10:13" x14ac:dyDescent="0.25">
      <c r="J456" t="s">
        <v>605</v>
      </c>
      <c r="K456" t="s">
        <v>606</v>
      </c>
      <c r="L456" t="s">
        <v>631</v>
      </c>
      <c r="M456" t="s">
        <v>251</v>
      </c>
    </row>
    <row r="457" spans="10:13" x14ac:dyDescent="0.25">
      <c r="J457" t="s">
        <v>607</v>
      </c>
      <c r="K457" t="s">
        <v>608</v>
      </c>
      <c r="L457" t="s">
        <v>631</v>
      </c>
      <c r="M457" t="s">
        <v>251</v>
      </c>
    </row>
    <row r="458" spans="10:13" x14ac:dyDescent="0.25">
      <c r="J458" t="s">
        <v>609</v>
      </c>
      <c r="K458" t="s">
        <v>610</v>
      </c>
      <c r="L458" t="s">
        <v>631</v>
      </c>
      <c r="M458" t="s">
        <v>251</v>
      </c>
    </row>
    <row r="459" spans="10:13" x14ac:dyDescent="0.25">
      <c r="J459" t="s">
        <v>611</v>
      </c>
      <c r="K459" t="s">
        <v>612</v>
      </c>
      <c r="L459" t="s">
        <v>631</v>
      </c>
      <c r="M459" t="s">
        <v>251</v>
      </c>
    </row>
    <row r="460" spans="10:13" x14ac:dyDescent="0.25">
      <c r="J460" t="s">
        <v>613</v>
      </c>
      <c r="K460" t="s">
        <v>614</v>
      </c>
      <c r="L460" t="s">
        <v>631</v>
      </c>
      <c r="M460" t="s">
        <v>251</v>
      </c>
    </row>
    <row r="461" spans="10:13" x14ac:dyDescent="0.25">
      <c r="J461" t="s">
        <v>615</v>
      </c>
      <c r="K461" t="s">
        <v>615</v>
      </c>
      <c r="L461" t="s">
        <v>631</v>
      </c>
      <c r="M461" t="s">
        <v>251</v>
      </c>
    </row>
    <row r="462" spans="10:13" x14ac:dyDescent="0.25">
      <c r="J462" t="s">
        <v>616</v>
      </c>
      <c r="K462" t="s">
        <v>617</v>
      </c>
      <c r="L462" t="s">
        <v>631</v>
      </c>
      <c r="M462" t="s">
        <v>251</v>
      </c>
    </row>
    <row r="463" spans="10:13" x14ac:dyDescent="0.25">
      <c r="J463" t="s">
        <v>617</v>
      </c>
      <c r="K463" t="s">
        <v>617</v>
      </c>
      <c r="L463" t="s">
        <v>631</v>
      </c>
      <c r="M463" t="s">
        <v>251</v>
      </c>
    </row>
    <row r="464" spans="10:13" x14ac:dyDescent="0.25">
      <c r="J464" t="s">
        <v>618</v>
      </c>
      <c r="K464" t="s">
        <v>619</v>
      </c>
      <c r="L464" t="s">
        <v>631</v>
      </c>
      <c r="M464" t="s">
        <v>251</v>
      </c>
    </row>
    <row r="465" spans="10:13" x14ac:dyDescent="0.25">
      <c r="J465" t="s">
        <v>620</v>
      </c>
      <c r="K465" t="s">
        <v>620</v>
      </c>
      <c r="L465" t="s">
        <v>631</v>
      </c>
      <c r="M465" t="s">
        <v>251</v>
      </c>
    </row>
    <row r="466" spans="10:13" x14ac:dyDescent="0.25">
      <c r="J466" t="s">
        <v>621</v>
      </c>
      <c r="K466" t="s">
        <v>614</v>
      </c>
      <c r="L466" t="s">
        <v>631</v>
      </c>
      <c r="M466" t="s">
        <v>251</v>
      </c>
    </row>
    <row r="467" spans="10:13" x14ac:dyDescent="0.25">
      <c r="J467" t="s">
        <v>622</v>
      </c>
      <c r="K467" t="s">
        <v>623</v>
      </c>
      <c r="L467" t="s">
        <v>631</v>
      </c>
      <c r="M467" t="s">
        <v>251</v>
      </c>
    </row>
    <row r="468" spans="10:13" x14ac:dyDescent="0.25">
      <c r="J468" t="s">
        <v>624</v>
      </c>
      <c r="K468" t="s">
        <v>625</v>
      </c>
      <c r="L468" t="s">
        <v>631</v>
      </c>
      <c r="M468" t="s">
        <v>251</v>
      </c>
    </row>
    <row r="469" spans="10:13" x14ac:dyDescent="0.25">
      <c r="J469" t="s">
        <v>626</v>
      </c>
      <c r="K469" t="s">
        <v>626</v>
      </c>
      <c r="L469" t="s">
        <v>631</v>
      </c>
      <c r="M469" t="s">
        <v>251</v>
      </c>
    </row>
    <row r="470" spans="10:13" x14ac:dyDescent="0.25">
      <c r="J470" t="s">
        <v>627</v>
      </c>
      <c r="K470" t="s">
        <v>628</v>
      </c>
      <c r="L470" t="s">
        <v>631</v>
      </c>
      <c r="M470" t="s">
        <v>251</v>
      </c>
    </row>
    <row r="471" spans="10:13" x14ac:dyDescent="0.25">
      <c r="J471" t="s">
        <v>610</v>
      </c>
      <c r="K471" t="s">
        <v>610</v>
      </c>
      <c r="L471" t="s">
        <v>631</v>
      </c>
      <c r="M471" t="s">
        <v>251</v>
      </c>
    </row>
    <row r="472" spans="10:13" x14ac:dyDescent="0.25">
      <c r="J472" t="s">
        <v>629</v>
      </c>
      <c r="K472" t="s">
        <v>625</v>
      </c>
      <c r="L472" t="s">
        <v>631</v>
      </c>
      <c r="M472" t="s">
        <v>251</v>
      </c>
    </row>
    <row r="473" spans="10:13" x14ac:dyDescent="0.25">
      <c r="J473" t="s">
        <v>630</v>
      </c>
      <c r="K473" t="s">
        <v>630</v>
      </c>
      <c r="L473" t="s">
        <v>631</v>
      </c>
      <c r="M473" t="s">
        <v>251</v>
      </c>
    </row>
    <row r="474" spans="10:13" x14ac:dyDescent="0.25">
      <c r="J474" t="s">
        <v>619</v>
      </c>
      <c r="K474" t="s">
        <v>619</v>
      </c>
      <c r="L474" t="s">
        <v>631</v>
      </c>
      <c r="M474" t="s">
        <v>251</v>
      </c>
    </row>
    <row r="475" spans="10:13" x14ac:dyDescent="0.25">
      <c r="J475" t="s">
        <v>631</v>
      </c>
      <c r="K475" t="s">
        <v>631</v>
      </c>
      <c r="L475" t="s">
        <v>631</v>
      </c>
      <c r="M475" t="s">
        <v>251</v>
      </c>
    </row>
    <row r="476" spans="10:13" x14ac:dyDescent="0.25">
      <c r="J476" t="s">
        <v>632</v>
      </c>
      <c r="K476" t="s">
        <v>632</v>
      </c>
      <c r="L476" t="s">
        <v>631</v>
      </c>
      <c r="M476" t="s">
        <v>251</v>
      </c>
    </row>
    <row r="477" spans="10:13" x14ac:dyDescent="0.25">
      <c r="J477" t="s">
        <v>633</v>
      </c>
      <c r="K477" t="s">
        <v>632</v>
      </c>
      <c r="L477" t="s">
        <v>631</v>
      </c>
      <c r="M477" t="s">
        <v>251</v>
      </c>
    </row>
    <row r="478" spans="10:13" x14ac:dyDescent="0.25">
      <c r="J478" t="s">
        <v>606</v>
      </c>
      <c r="K478" t="s">
        <v>606</v>
      </c>
      <c r="L478" t="s">
        <v>631</v>
      </c>
      <c r="M478" t="s">
        <v>251</v>
      </c>
    </row>
    <row r="479" spans="10:13" x14ac:dyDescent="0.25">
      <c r="J479" t="s">
        <v>614</v>
      </c>
      <c r="K479" t="s">
        <v>614</v>
      </c>
      <c r="L479" t="s">
        <v>631</v>
      </c>
      <c r="M479" t="s">
        <v>251</v>
      </c>
    </row>
    <row r="480" spans="10:13" x14ac:dyDescent="0.25">
      <c r="J480" t="s">
        <v>625</v>
      </c>
      <c r="K480" t="s">
        <v>625</v>
      </c>
      <c r="L480" t="s">
        <v>631</v>
      </c>
      <c r="M480" t="s">
        <v>251</v>
      </c>
    </row>
    <row r="481" spans="10:13" x14ac:dyDescent="0.25">
      <c r="J481" t="s">
        <v>634</v>
      </c>
      <c r="K481" t="s">
        <v>634</v>
      </c>
      <c r="L481" t="s">
        <v>631</v>
      </c>
      <c r="M481" t="s">
        <v>251</v>
      </c>
    </row>
    <row r="482" spans="10:13" x14ac:dyDescent="0.25">
      <c r="J482" t="s">
        <v>635</v>
      </c>
      <c r="K482" t="s">
        <v>635</v>
      </c>
      <c r="L482" t="s">
        <v>631</v>
      </c>
      <c r="M482" t="s">
        <v>251</v>
      </c>
    </row>
    <row r="483" spans="10:13" x14ac:dyDescent="0.25">
      <c r="J483" t="s">
        <v>636</v>
      </c>
      <c r="K483" t="s">
        <v>636</v>
      </c>
      <c r="L483" t="s">
        <v>631</v>
      </c>
      <c r="M483" t="s">
        <v>251</v>
      </c>
    </row>
    <row r="484" spans="10:13" x14ac:dyDescent="0.25">
      <c r="J484" t="s">
        <v>601</v>
      </c>
      <c r="K484" t="s">
        <v>601</v>
      </c>
      <c r="L484" t="s">
        <v>631</v>
      </c>
      <c r="M484" t="s">
        <v>251</v>
      </c>
    </row>
    <row r="485" spans="10:13" x14ac:dyDescent="0.25">
      <c r="J485" t="s">
        <v>637</v>
      </c>
      <c r="K485" t="s">
        <v>614</v>
      </c>
      <c r="L485" t="s">
        <v>631</v>
      </c>
      <c r="M485" t="s">
        <v>251</v>
      </c>
    </row>
    <row r="486" spans="10:13" x14ac:dyDescent="0.25">
      <c r="J486" t="s">
        <v>638</v>
      </c>
      <c r="K486" t="s">
        <v>638</v>
      </c>
      <c r="L486" t="s">
        <v>631</v>
      </c>
      <c r="M486" t="s">
        <v>251</v>
      </c>
    </row>
    <row r="487" spans="10:13" x14ac:dyDescent="0.25">
      <c r="J487" t="s">
        <v>599</v>
      </c>
      <c r="K487" t="s">
        <v>599</v>
      </c>
      <c r="L487" t="s">
        <v>631</v>
      </c>
      <c r="M487" t="s">
        <v>251</v>
      </c>
    </row>
    <row r="488" spans="10:13" x14ac:dyDescent="0.25">
      <c r="J488" t="s">
        <v>639</v>
      </c>
      <c r="K488" t="s">
        <v>639</v>
      </c>
      <c r="L488" t="s">
        <v>631</v>
      </c>
      <c r="M488" t="s">
        <v>251</v>
      </c>
    </row>
    <row r="489" spans="10:13" x14ac:dyDescent="0.25">
      <c r="J489" t="s">
        <v>640</v>
      </c>
      <c r="K489" t="s">
        <v>640</v>
      </c>
      <c r="L489" t="s">
        <v>631</v>
      </c>
      <c r="M489" t="s">
        <v>251</v>
      </c>
    </row>
    <row r="490" spans="10:13" x14ac:dyDescent="0.25">
      <c r="J490" t="s">
        <v>641</v>
      </c>
      <c r="K490" t="s">
        <v>619</v>
      </c>
      <c r="L490" t="s">
        <v>631</v>
      </c>
      <c r="M490" t="s">
        <v>251</v>
      </c>
    </row>
    <row r="491" spans="10:13" x14ac:dyDescent="0.25">
      <c r="J491" t="s">
        <v>628</v>
      </c>
      <c r="K491" t="s">
        <v>628</v>
      </c>
      <c r="L491" t="s">
        <v>631</v>
      </c>
      <c r="M491" t="s">
        <v>251</v>
      </c>
    </row>
    <row r="492" spans="10:13" x14ac:dyDescent="0.25">
      <c r="J492" t="s">
        <v>623</v>
      </c>
      <c r="K492" t="s">
        <v>623</v>
      </c>
      <c r="L492" t="s">
        <v>631</v>
      </c>
      <c r="M492" t="s">
        <v>251</v>
      </c>
    </row>
    <row r="493" spans="10:13" x14ac:dyDescent="0.25">
      <c r="J493" t="s">
        <v>642</v>
      </c>
      <c r="K493" t="s">
        <v>642</v>
      </c>
      <c r="L493" t="s">
        <v>631</v>
      </c>
      <c r="M493" t="s">
        <v>251</v>
      </c>
    </row>
    <row r="494" spans="10:13" x14ac:dyDescent="0.25">
      <c r="J494" t="s">
        <v>643</v>
      </c>
      <c r="K494" t="s">
        <v>643</v>
      </c>
      <c r="L494" t="s">
        <v>631</v>
      </c>
      <c r="M494" t="s">
        <v>251</v>
      </c>
    </row>
    <row r="495" spans="10:13" x14ac:dyDescent="0.25">
      <c r="J495" t="s">
        <v>644</v>
      </c>
      <c r="K495" t="s">
        <v>603</v>
      </c>
      <c r="L495" t="s">
        <v>631</v>
      </c>
      <c r="M495" t="s">
        <v>251</v>
      </c>
    </row>
    <row r="496" spans="10:13" x14ac:dyDescent="0.25">
      <c r="J496" t="s">
        <v>645</v>
      </c>
      <c r="K496" t="s">
        <v>631</v>
      </c>
      <c r="L496" t="s">
        <v>631</v>
      </c>
      <c r="M496" t="s">
        <v>251</v>
      </c>
    </row>
    <row r="497" spans="10:13" x14ac:dyDescent="0.25">
      <c r="J497" t="s">
        <v>646</v>
      </c>
      <c r="K497" t="s">
        <v>646</v>
      </c>
      <c r="L497" t="s">
        <v>631</v>
      </c>
      <c r="M497" t="s">
        <v>251</v>
      </c>
    </row>
    <row r="498" spans="10:13" x14ac:dyDescent="0.25">
      <c r="J498" t="s">
        <v>647</v>
      </c>
      <c r="K498" t="s">
        <v>632</v>
      </c>
      <c r="L498" t="s">
        <v>631</v>
      </c>
      <c r="M498" t="s">
        <v>251</v>
      </c>
    </row>
    <row r="499" spans="10:13" x14ac:dyDescent="0.25">
      <c r="J499" t="s">
        <v>648</v>
      </c>
      <c r="K499" t="s">
        <v>632</v>
      </c>
      <c r="L499" t="s">
        <v>631</v>
      </c>
      <c r="M499" t="s">
        <v>251</v>
      </c>
    </row>
    <row r="500" spans="10:13" x14ac:dyDescent="0.25">
      <c r="J500" t="s">
        <v>608</v>
      </c>
      <c r="K500" t="s">
        <v>608</v>
      </c>
      <c r="L500" t="s">
        <v>631</v>
      </c>
      <c r="M500" t="s">
        <v>251</v>
      </c>
    </row>
    <row r="501" spans="10:13" x14ac:dyDescent="0.25">
      <c r="J501" t="s">
        <v>649</v>
      </c>
      <c r="K501" t="s">
        <v>649</v>
      </c>
      <c r="L501" t="s">
        <v>631</v>
      </c>
      <c r="M501" t="s">
        <v>251</v>
      </c>
    </row>
    <row r="502" spans="10:13" x14ac:dyDescent="0.25">
      <c r="J502" t="s">
        <v>650</v>
      </c>
      <c r="K502" t="s">
        <v>623</v>
      </c>
      <c r="L502" t="s">
        <v>631</v>
      </c>
      <c r="M502" t="s">
        <v>251</v>
      </c>
    </row>
    <row r="503" spans="10:13" x14ac:dyDescent="0.25">
      <c r="J503" t="s">
        <v>651</v>
      </c>
      <c r="K503" t="s">
        <v>628</v>
      </c>
      <c r="L503" t="s">
        <v>631</v>
      </c>
      <c r="M503" t="s">
        <v>251</v>
      </c>
    </row>
    <row r="504" spans="10:13" x14ac:dyDescent="0.25">
      <c r="J504" t="s">
        <v>652</v>
      </c>
      <c r="K504" t="s">
        <v>646</v>
      </c>
      <c r="L504" t="s">
        <v>631</v>
      </c>
      <c r="M504" t="s">
        <v>251</v>
      </c>
    </row>
    <row r="505" spans="10:13" x14ac:dyDescent="0.25">
      <c r="J505" t="s">
        <v>653</v>
      </c>
      <c r="K505" t="s">
        <v>628</v>
      </c>
      <c r="L505" t="s">
        <v>631</v>
      </c>
      <c r="M505" t="s">
        <v>251</v>
      </c>
    </row>
    <row r="506" spans="10:13" x14ac:dyDescent="0.25">
      <c r="J506" t="s">
        <v>654</v>
      </c>
      <c r="K506" t="s">
        <v>597</v>
      </c>
      <c r="L506" t="s">
        <v>631</v>
      </c>
      <c r="M506" t="s">
        <v>251</v>
      </c>
    </row>
    <row r="507" spans="10:13" x14ac:dyDescent="0.25">
      <c r="J507" t="s">
        <v>655</v>
      </c>
      <c r="K507" t="s">
        <v>655</v>
      </c>
      <c r="L507" t="s">
        <v>631</v>
      </c>
      <c r="M507" t="s">
        <v>251</v>
      </c>
    </row>
    <row r="508" spans="10:13" x14ac:dyDescent="0.25">
      <c r="J508" t="s">
        <v>656</v>
      </c>
      <c r="K508" t="s">
        <v>640</v>
      </c>
      <c r="L508" t="s">
        <v>631</v>
      </c>
      <c r="M508" t="s">
        <v>251</v>
      </c>
    </row>
    <row r="509" spans="10:13" x14ac:dyDescent="0.25">
      <c r="J509" t="s">
        <v>657</v>
      </c>
      <c r="K509" t="s">
        <v>646</v>
      </c>
      <c r="L509" t="s">
        <v>631</v>
      </c>
      <c r="M509" t="s">
        <v>251</v>
      </c>
    </row>
    <row r="510" spans="10:13" x14ac:dyDescent="0.25">
      <c r="J510" t="s">
        <v>658</v>
      </c>
      <c r="K510" t="s">
        <v>614</v>
      </c>
      <c r="L510" t="s">
        <v>631</v>
      </c>
      <c r="M510" t="s">
        <v>251</v>
      </c>
    </row>
    <row r="511" spans="10:13" x14ac:dyDescent="0.25">
      <c r="J511" t="s">
        <v>603</v>
      </c>
      <c r="K511" t="s">
        <v>603</v>
      </c>
      <c r="L511" t="s">
        <v>631</v>
      </c>
      <c r="M511" t="s">
        <v>251</v>
      </c>
    </row>
    <row r="512" spans="10:13" x14ac:dyDescent="0.25">
      <c r="J512" t="s">
        <v>659</v>
      </c>
      <c r="K512" t="s">
        <v>646</v>
      </c>
      <c r="L512" t="s">
        <v>631</v>
      </c>
      <c r="M512" t="s">
        <v>251</v>
      </c>
    </row>
    <row r="513" spans="10:13" x14ac:dyDescent="0.25">
      <c r="J513" t="s">
        <v>660</v>
      </c>
      <c r="K513" t="s">
        <v>646</v>
      </c>
      <c r="L513" t="s">
        <v>631</v>
      </c>
      <c r="M513" t="s">
        <v>251</v>
      </c>
    </row>
    <row r="514" spans="10:13" x14ac:dyDescent="0.25">
      <c r="J514" t="s">
        <v>661</v>
      </c>
      <c r="K514" t="s">
        <v>646</v>
      </c>
      <c r="L514" t="s">
        <v>631</v>
      </c>
      <c r="M514" t="s">
        <v>251</v>
      </c>
    </row>
    <row r="515" spans="10:13" x14ac:dyDescent="0.25">
      <c r="J515" t="s">
        <v>662</v>
      </c>
      <c r="K515" t="s">
        <v>646</v>
      </c>
      <c r="L515" t="s">
        <v>631</v>
      </c>
      <c r="M515" t="s">
        <v>251</v>
      </c>
    </row>
    <row r="516" spans="10:13" x14ac:dyDescent="0.25">
      <c r="J516" t="s">
        <v>663</v>
      </c>
      <c r="K516" t="s">
        <v>606</v>
      </c>
      <c r="L516" t="s">
        <v>631</v>
      </c>
      <c r="M516" t="s">
        <v>251</v>
      </c>
    </row>
    <row r="517" spans="10:13" x14ac:dyDescent="0.25">
      <c r="J517" t="s">
        <v>664</v>
      </c>
      <c r="K517" t="s">
        <v>638</v>
      </c>
      <c r="L517" t="s">
        <v>631</v>
      </c>
      <c r="M517" t="s">
        <v>251</v>
      </c>
    </row>
    <row r="518" spans="10:13" x14ac:dyDescent="0.25">
      <c r="J518" t="s">
        <v>665</v>
      </c>
      <c r="K518" t="s">
        <v>638</v>
      </c>
      <c r="L518" t="s">
        <v>631</v>
      </c>
      <c r="M518" t="s">
        <v>251</v>
      </c>
    </row>
    <row r="519" spans="10:13" x14ac:dyDescent="0.25">
      <c r="J519" t="s">
        <v>666</v>
      </c>
      <c r="K519" t="s">
        <v>635</v>
      </c>
      <c r="L519" t="s">
        <v>631</v>
      </c>
      <c r="M519" t="s">
        <v>251</v>
      </c>
    </row>
    <row r="520" spans="10:13" x14ac:dyDescent="0.25">
      <c r="J520" t="s">
        <v>667</v>
      </c>
      <c r="K520" t="s">
        <v>646</v>
      </c>
      <c r="L520" t="s">
        <v>631</v>
      </c>
      <c r="M520" t="s">
        <v>251</v>
      </c>
    </row>
    <row r="521" spans="10:13" x14ac:dyDescent="0.25">
      <c r="J521" t="s">
        <v>668</v>
      </c>
      <c r="K521" t="s">
        <v>631</v>
      </c>
      <c r="L521" t="s">
        <v>631</v>
      </c>
      <c r="M521" t="s">
        <v>251</v>
      </c>
    </row>
    <row r="522" spans="10:13" x14ac:dyDescent="0.25">
      <c r="J522" t="s">
        <v>669</v>
      </c>
      <c r="K522" t="s">
        <v>606</v>
      </c>
      <c r="L522" t="s">
        <v>631</v>
      </c>
      <c r="M522" t="s">
        <v>251</v>
      </c>
    </row>
    <row r="523" spans="10:13" x14ac:dyDescent="0.25">
      <c r="J523" t="s">
        <v>670</v>
      </c>
      <c r="K523" t="s">
        <v>614</v>
      </c>
      <c r="L523" t="s">
        <v>631</v>
      </c>
      <c r="M523" t="s">
        <v>251</v>
      </c>
    </row>
    <row r="524" spans="10:13" x14ac:dyDescent="0.25">
      <c r="J524" t="s">
        <v>671</v>
      </c>
      <c r="K524" t="s">
        <v>631</v>
      </c>
      <c r="L524" t="s">
        <v>631</v>
      </c>
      <c r="M524" t="s">
        <v>251</v>
      </c>
    </row>
    <row r="525" spans="10:13" x14ac:dyDescent="0.25">
      <c r="J525" t="s">
        <v>672</v>
      </c>
      <c r="K525" t="s">
        <v>606</v>
      </c>
      <c r="L525" t="s">
        <v>631</v>
      </c>
      <c r="M525" t="s">
        <v>251</v>
      </c>
    </row>
    <row r="526" spans="10:13" x14ac:dyDescent="0.25">
      <c r="J526" t="s">
        <v>673</v>
      </c>
      <c r="K526" t="s">
        <v>628</v>
      </c>
      <c r="L526" t="s">
        <v>631</v>
      </c>
      <c r="M526" t="s">
        <v>251</v>
      </c>
    </row>
    <row r="527" spans="10:13" x14ac:dyDescent="0.25">
      <c r="J527" t="s">
        <v>674</v>
      </c>
      <c r="K527" t="s">
        <v>596</v>
      </c>
      <c r="L527" t="s">
        <v>631</v>
      </c>
      <c r="M527" t="s">
        <v>251</v>
      </c>
    </row>
    <row r="528" spans="10:13" x14ac:dyDescent="0.25">
      <c r="J528" t="s">
        <v>675</v>
      </c>
      <c r="K528" t="s">
        <v>617</v>
      </c>
      <c r="L528" t="s">
        <v>631</v>
      </c>
      <c r="M528" t="s">
        <v>251</v>
      </c>
    </row>
    <row r="529" spans="10:13" x14ac:dyDescent="0.25">
      <c r="J529" t="s">
        <v>676</v>
      </c>
      <c r="K529" t="s">
        <v>620</v>
      </c>
      <c r="L529" t="s">
        <v>631</v>
      </c>
      <c r="M529" t="s">
        <v>251</v>
      </c>
    </row>
    <row r="530" spans="10:13" x14ac:dyDescent="0.25">
      <c r="J530" t="s">
        <v>677</v>
      </c>
      <c r="K530" t="s">
        <v>596</v>
      </c>
      <c r="L530" t="s">
        <v>631</v>
      </c>
      <c r="M530" t="s">
        <v>251</v>
      </c>
    </row>
    <row r="531" spans="10:13" x14ac:dyDescent="0.25">
      <c r="J531" t="s">
        <v>678</v>
      </c>
      <c r="K531" t="s">
        <v>620</v>
      </c>
      <c r="L531" t="s">
        <v>631</v>
      </c>
      <c r="M531" t="s">
        <v>251</v>
      </c>
    </row>
    <row r="532" spans="10:13" x14ac:dyDescent="0.25">
      <c r="J532" t="s">
        <v>679</v>
      </c>
      <c r="K532" t="s">
        <v>626</v>
      </c>
      <c r="L532" t="s">
        <v>631</v>
      </c>
      <c r="M532" t="s">
        <v>251</v>
      </c>
    </row>
    <row r="533" spans="10:13" x14ac:dyDescent="0.25">
      <c r="J533" t="s">
        <v>680</v>
      </c>
      <c r="K533" t="s">
        <v>632</v>
      </c>
      <c r="L533" t="s">
        <v>631</v>
      </c>
      <c r="M533" t="s">
        <v>251</v>
      </c>
    </row>
    <row r="534" spans="10:13" x14ac:dyDescent="0.25">
      <c r="J534" t="s">
        <v>681</v>
      </c>
      <c r="K534" t="s">
        <v>601</v>
      </c>
      <c r="L534" t="s">
        <v>631</v>
      </c>
      <c r="M534" t="s">
        <v>251</v>
      </c>
    </row>
    <row r="535" spans="10:13" x14ac:dyDescent="0.25">
      <c r="J535" t="s">
        <v>682</v>
      </c>
      <c r="K535" t="s">
        <v>601</v>
      </c>
      <c r="L535" t="s">
        <v>631</v>
      </c>
      <c r="M535" t="s">
        <v>251</v>
      </c>
    </row>
    <row r="536" spans="10:13" x14ac:dyDescent="0.25">
      <c r="J536" t="s">
        <v>683</v>
      </c>
      <c r="K536" t="s">
        <v>684</v>
      </c>
      <c r="L536" t="s">
        <v>631</v>
      </c>
      <c r="M536" t="s">
        <v>251</v>
      </c>
    </row>
    <row r="537" spans="10:13" x14ac:dyDescent="0.25">
      <c r="J537" t="s">
        <v>684</v>
      </c>
      <c r="K537" t="s">
        <v>684</v>
      </c>
      <c r="L537" t="s">
        <v>631</v>
      </c>
      <c r="M537" t="s">
        <v>251</v>
      </c>
    </row>
    <row r="538" spans="10:13" x14ac:dyDescent="0.25">
      <c r="J538" t="s">
        <v>685</v>
      </c>
      <c r="K538" t="s">
        <v>635</v>
      </c>
      <c r="L538" t="s">
        <v>631</v>
      </c>
      <c r="M538" t="s">
        <v>251</v>
      </c>
    </row>
    <row r="539" spans="10:13" x14ac:dyDescent="0.25">
      <c r="J539" t="s">
        <v>686</v>
      </c>
      <c r="K539" t="s">
        <v>635</v>
      </c>
      <c r="L539" t="s">
        <v>631</v>
      </c>
      <c r="M539" t="s">
        <v>251</v>
      </c>
    </row>
    <row r="540" spans="10:13" x14ac:dyDescent="0.25">
      <c r="J540" t="s">
        <v>687</v>
      </c>
      <c r="K540" t="s">
        <v>625</v>
      </c>
      <c r="L540" t="s">
        <v>631</v>
      </c>
      <c r="M540" t="s">
        <v>251</v>
      </c>
    </row>
    <row r="541" spans="10:13" x14ac:dyDescent="0.25">
      <c r="J541" t="s">
        <v>688</v>
      </c>
      <c r="K541" t="s">
        <v>631</v>
      </c>
      <c r="L541" t="s">
        <v>631</v>
      </c>
      <c r="M541" t="s">
        <v>251</v>
      </c>
    </row>
    <row r="542" spans="10:13" x14ac:dyDescent="0.25">
      <c r="J542" t="s">
        <v>689</v>
      </c>
      <c r="K542" t="s">
        <v>606</v>
      </c>
      <c r="L542" t="s">
        <v>631</v>
      </c>
      <c r="M542" t="s">
        <v>251</v>
      </c>
    </row>
    <row r="543" spans="10:13" x14ac:dyDescent="0.25">
      <c r="J543" t="s">
        <v>690</v>
      </c>
      <c r="K543" t="s">
        <v>631</v>
      </c>
      <c r="L543" t="s">
        <v>631</v>
      </c>
      <c r="M543" t="s">
        <v>251</v>
      </c>
    </row>
    <row r="544" spans="10:13" x14ac:dyDescent="0.25">
      <c r="J544" t="s">
        <v>691</v>
      </c>
      <c r="K544" t="s">
        <v>646</v>
      </c>
      <c r="L544" t="s">
        <v>631</v>
      </c>
      <c r="M544" t="s">
        <v>251</v>
      </c>
    </row>
    <row r="545" spans="10:13" x14ac:dyDescent="0.25">
      <c r="J545" t="s">
        <v>692</v>
      </c>
      <c r="K545" t="s">
        <v>599</v>
      </c>
      <c r="L545" t="s">
        <v>631</v>
      </c>
      <c r="M545" t="s">
        <v>251</v>
      </c>
    </row>
    <row r="546" spans="10:13" x14ac:dyDescent="0.25">
      <c r="J546" t="s">
        <v>693</v>
      </c>
      <c r="K546" t="s">
        <v>608</v>
      </c>
      <c r="L546" t="s">
        <v>631</v>
      </c>
      <c r="M546" t="s">
        <v>251</v>
      </c>
    </row>
    <row r="547" spans="10:13" x14ac:dyDescent="0.25">
      <c r="J547" t="s">
        <v>694</v>
      </c>
      <c r="K547" t="s">
        <v>596</v>
      </c>
      <c r="L547" t="s">
        <v>631</v>
      </c>
      <c r="M547" t="s">
        <v>251</v>
      </c>
    </row>
    <row r="548" spans="10:13" x14ac:dyDescent="0.25">
      <c r="J548" t="s">
        <v>695</v>
      </c>
      <c r="K548" t="s">
        <v>630</v>
      </c>
      <c r="L548" t="s">
        <v>631</v>
      </c>
      <c r="M548" t="s">
        <v>251</v>
      </c>
    </row>
    <row r="549" spans="10:13" x14ac:dyDescent="0.25">
      <c r="J549" t="s">
        <v>696</v>
      </c>
      <c r="K549" t="s">
        <v>619</v>
      </c>
      <c r="L549" t="s">
        <v>631</v>
      </c>
      <c r="M549" t="s">
        <v>251</v>
      </c>
    </row>
    <row r="550" spans="10:13" x14ac:dyDescent="0.25">
      <c r="J550" t="s">
        <v>697</v>
      </c>
      <c r="K550" t="s">
        <v>619</v>
      </c>
      <c r="L550" t="s">
        <v>631</v>
      </c>
      <c r="M550" t="s">
        <v>251</v>
      </c>
    </row>
    <row r="551" spans="10:13" x14ac:dyDescent="0.25">
      <c r="J551" t="s">
        <v>698</v>
      </c>
      <c r="K551" t="s">
        <v>684</v>
      </c>
      <c r="L551" t="s">
        <v>631</v>
      </c>
      <c r="M551" t="s">
        <v>251</v>
      </c>
    </row>
    <row r="552" spans="10:13" x14ac:dyDescent="0.25">
      <c r="J552" t="s">
        <v>699</v>
      </c>
      <c r="K552" t="s">
        <v>599</v>
      </c>
      <c r="L552" t="s">
        <v>631</v>
      </c>
      <c r="M552" t="s">
        <v>251</v>
      </c>
    </row>
    <row r="553" spans="10:13" x14ac:dyDescent="0.25">
      <c r="J553" t="s">
        <v>700</v>
      </c>
      <c r="K553" t="s">
        <v>601</v>
      </c>
      <c r="L553" t="s">
        <v>631</v>
      </c>
      <c r="M553" t="s">
        <v>251</v>
      </c>
    </row>
    <row r="554" spans="10:13" x14ac:dyDescent="0.25">
      <c r="J554" t="s">
        <v>701</v>
      </c>
      <c r="K554" t="s">
        <v>701</v>
      </c>
      <c r="L554" t="s">
        <v>631</v>
      </c>
      <c r="M554" t="s">
        <v>251</v>
      </c>
    </row>
    <row r="555" spans="10:13" x14ac:dyDescent="0.25">
      <c r="J555" t="s">
        <v>702</v>
      </c>
      <c r="K555" t="s">
        <v>628</v>
      </c>
      <c r="L555" t="s">
        <v>631</v>
      </c>
      <c r="M555" t="s">
        <v>251</v>
      </c>
    </row>
    <row r="556" spans="10:13" x14ac:dyDescent="0.25">
      <c r="J556" t="s">
        <v>703</v>
      </c>
      <c r="K556" t="s">
        <v>638</v>
      </c>
      <c r="L556" t="s">
        <v>631</v>
      </c>
      <c r="M556" t="s">
        <v>251</v>
      </c>
    </row>
    <row r="557" spans="10:13" x14ac:dyDescent="0.25">
      <c r="J557" t="s">
        <v>704</v>
      </c>
      <c r="K557" t="s">
        <v>646</v>
      </c>
      <c r="L557" t="s">
        <v>631</v>
      </c>
      <c r="M557" t="s">
        <v>251</v>
      </c>
    </row>
    <row r="558" spans="10:13" x14ac:dyDescent="0.25">
      <c r="J558" t="s">
        <v>705</v>
      </c>
      <c r="K558" t="s">
        <v>646</v>
      </c>
      <c r="L558" t="s">
        <v>631</v>
      </c>
      <c r="M558" t="s">
        <v>251</v>
      </c>
    </row>
    <row r="559" spans="10:13" x14ac:dyDescent="0.25">
      <c r="J559" t="s">
        <v>706</v>
      </c>
      <c r="K559" t="s">
        <v>636</v>
      </c>
      <c r="L559" t="s">
        <v>631</v>
      </c>
      <c r="M559" t="s">
        <v>251</v>
      </c>
    </row>
    <row r="560" spans="10:13" x14ac:dyDescent="0.25">
      <c r="J560" t="s">
        <v>612</v>
      </c>
      <c r="K560" t="s">
        <v>612</v>
      </c>
      <c r="L560" t="s">
        <v>631</v>
      </c>
      <c r="M560" t="s">
        <v>251</v>
      </c>
    </row>
    <row r="561" spans="10:13" x14ac:dyDescent="0.25">
      <c r="J561" t="s">
        <v>707</v>
      </c>
      <c r="K561" t="s">
        <v>612</v>
      </c>
      <c r="L561" t="s">
        <v>631</v>
      </c>
      <c r="M561" t="s">
        <v>251</v>
      </c>
    </row>
    <row r="562" spans="10:13" x14ac:dyDescent="0.25">
      <c r="J562" t="s">
        <v>708</v>
      </c>
      <c r="K562" t="s">
        <v>642</v>
      </c>
      <c r="L562" t="s">
        <v>631</v>
      </c>
      <c r="M562" t="s">
        <v>251</v>
      </c>
    </row>
    <row r="563" spans="10:13" x14ac:dyDescent="0.25">
      <c r="J563" t="s">
        <v>709</v>
      </c>
      <c r="K563" t="s">
        <v>610</v>
      </c>
      <c r="L563" t="s">
        <v>631</v>
      </c>
      <c r="M563" t="s">
        <v>251</v>
      </c>
    </row>
    <row r="564" spans="10:13" x14ac:dyDescent="0.25">
      <c r="J564" t="s">
        <v>710</v>
      </c>
      <c r="K564" t="s">
        <v>711</v>
      </c>
      <c r="L564" t="s">
        <v>83</v>
      </c>
      <c r="M564" t="s">
        <v>80</v>
      </c>
    </row>
    <row r="565" spans="10:13" x14ac:dyDescent="0.25">
      <c r="J565" t="s">
        <v>712</v>
      </c>
      <c r="K565" t="s">
        <v>353</v>
      </c>
      <c r="L565" t="s">
        <v>83</v>
      </c>
      <c r="M565" t="s">
        <v>80</v>
      </c>
    </row>
    <row r="566" spans="10:13" x14ac:dyDescent="0.25">
      <c r="J566" t="s">
        <v>713</v>
      </c>
      <c r="K566" t="s">
        <v>714</v>
      </c>
      <c r="L566" t="s">
        <v>83</v>
      </c>
      <c r="M566" t="s">
        <v>80</v>
      </c>
    </row>
    <row r="567" spans="10:13" x14ac:dyDescent="0.25">
      <c r="J567" t="s">
        <v>715</v>
      </c>
      <c r="K567" t="s">
        <v>353</v>
      </c>
      <c r="L567" t="s">
        <v>83</v>
      </c>
      <c r="M567" t="s">
        <v>80</v>
      </c>
    </row>
    <row r="568" spans="10:13" x14ac:dyDescent="0.25">
      <c r="J568" t="s">
        <v>716</v>
      </c>
      <c r="K568" t="s">
        <v>353</v>
      </c>
      <c r="L568" t="s">
        <v>83</v>
      </c>
      <c r="M568" t="s">
        <v>80</v>
      </c>
    </row>
    <row r="569" spans="10:13" x14ac:dyDescent="0.25">
      <c r="J569" t="s">
        <v>717</v>
      </c>
      <c r="K569" t="s">
        <v>718</v>
      </c>
      <c r="L569" t="s">
        <v>83</v>
      </c>
      <c r="M569" t="s">
        <v>80</v>
      </c>
    </row>
    <row r="570" spans="10:13" x14ac:dyDescent="0.25">
      <c r="J570" t="s">
        <v>719</v>
      </c>
      <c r="K570" t="s">
        <v>720</v>
      </c>
      <c r="L570" t="s">
        <v>83</v>
      </c>
      <c r="M570" t="s">
        <v>80</v>
      </c>
    </row>
    <row r="571" spans="10:13" x14ac:dyDescent="0.25">
      <c r="J571" t="s">
        <v>721</v>
      </c>
      <c r="K571" t="s">
        <v>722</v>
      </c>
      <c r="L571" t="s">
        <v>83</v>
      </c>
      <c r="M571" t="s">
        <v>80</v>
      </c>
    </row>
    <row r="572" spans="10:13" x14ac:dyDescent="0.25">
      <c r="J572" t="s">
        <v>723</v>
      </c>
      <c r="K572" t="s">
        <v>723</v>
      </c>
      <c r="L572" t="s">
        <v>83</v>
      </c>
      <c r="M572" t="s">
        <v>80</v>
      </c>
    </row>
    <row r="573" spans="10:13" x14ac:dyDescent="0.25">
      <c r="J573" t="s">
        <v>724</v>
      </c>
      <c r="K573" t="s">
        <v>724</v>
      </c>
      <c r="L573" t="s">
        <v>83</v>
      </c>
      <c r="M573" t="s">
        <v>80</v>
      </c>
    </row>
    <row r="574" spans="10:13" x14ac:dyDescent="0.25">
      <c r="J574" t="s">
        <v>725</v>
      </c>
      <c r="K574" t="s">
        <v>725</v>
      </c>
      <c r="L574" t="s">
        <v>83</v>
      </c>
      <c r="M574" t="s">
        <v>80</v>
      </c>
    </row>
    <row r="575" spans="10:13" x14ac:dyDescent="0.25">
      <c r="J575" t="s">
        <v>726</v>
      </c>
      <c r="K575" t="s">
        <v>726</v>
      </c>
      <c r="L575" t="s">
        <v>83</v>
      </c>
      <c r="M575" t="s">
        <v>80</v>
      </c>
    </row>
    <row r="576" spans="10:13" x14ac:dyDescent="0.25">
      <c r="J576" t="s">
        <v>727</v>
      </c>
      <c r="K576" t="s">
        <v>727</v>
      </c>
      <c r="L576" t="s">
        <v>83</v>
      </c>
      <c r="M576" t="s">
        <v>80</v>
      </c>
    </row>
    <row r="577" spans="10:13" x14ac:dyDescent="0.25">
      <c r="J577" t="s">
        <v>728</v>
      </c>
      <c r="K577" t="s">
        <v>728</v>
      </c>
      <c r="L577" t="s">
        <v>83</v>
      </c>
      <c r="M577" t="s">
        <v>80</v>
      </c>
    </row>
    <row r="578" spans="10:13" x14ac:dyDescent="0.25">
      <c r="J578" t="s">
        <v>82</v>
      </c>
      <c r="K578" t="s">
        <v>82</v>
      </c>
      <c r="L578" t="s">
        <v>83</v>
      </c>
      <c r="M578" t="s">
        <v>80</v>
      </c>
    </row>
    <row r="579" spans="10:13" x14ac:dyDescent="0.25">
      <c r="J579" t="s">
        <v>714</v>
      </c>
      <c r="K579" t="s">
        <v>714</v>
      </c>
      <c r="L579" t="s">
        <v>83</v>
      </c>
      <c r="M579" t="s">
        <v>80</v>
      </c>
    </row>
    <row r="580" spans="10:13" x14ac:dyDescent="0.25">
      <c r="J580" t="s">
        <v>729</v>
      </c>
      <c r="K580" t="s">
        <v>729</v>
      </c>
      <c r="L580" t="s">
        <v>83</v>
      </c>
      <c r="M580" t="s">
        <v>80</v>
      </c>
    </row>
    <row r="581" spans="10:13" x14ac:dyDescent="0.25">
      <c r="J581" t="s">
        <v>730</v>
      </c>
      <c r="K581" t="s">
        <v>730</v>
      </c>
      <c r="L581" t="s">
        <v>83</v>
      </c>
      <c r="M581" t="s">
        <v>80</v>
      </c>
    </row>
    <row r="582" spans="10:13" x14ac:dyDescent="0.25">
      <c r="J582" t="s">
        <v>731</v>
      </c>
      <c r="K582" t="s">
        <v>731</v>
      </c>
      <c r="L582" t="s">
        <v>83</v>
      </c>
      <c r="M582" t="s">
        <v>80</v>
      </c>
    </row>
    <row r="583" spans="10:13" x14ac:dyDescent="0.25">
      <c r="J583" t="s">
        <v>732</v>
      </c>
      <c r="K583" t="s">
        <v>732</v>
      </c>
      <c r="L583" t="s">
        <v>83</v>
      </c>
      <c r="M583" t="s">
        <v>80</v>
      </c>
    </row>
    <row r="584" spans="10:13" x14ac:dyDescent="0.25">
      <c r="J584" t="s">
        <v>733</v>
      </c>
      <c r="K584" t="s">
        <v>733</v>
      </c>
      <c r="L584" t="s">
        <v>83</v>
      </c>
      <c r="M584" t="s">
        <v>80</v>
      </c>
    </row>
    <row r="585" spans="10:13" x14ac:dyDescent="0.25">
      <c r="J585" t="s">
        <v>720</v>
      </c>
      <c r="K585" t="s">
        <v>720</v>
      </c>
      <c r="L585" t="s">
        <v>83</v>
      </c>
      <c r="M585" t="s">
        <v>80</v>
      </c>
    </row>
    <row r="586" spans="10:13" x14ac:dyDescent="0.25">
      <c r="J586" t="s">
        <v>718</v>
      </c>
      <c r="K586" t="s">
        <v>718</v>
      </c>
      <c r="L586" t="s">
        <v>83</v>
      </c>
      <c r="M586" t="s">
        <v>80</v>
      </c>
    </row>
    <row r="587" spans="10:13" x14ac:dyDescent="0.25">
      <c r="J587" t="s">
        <v>734</v>
      </c>
      <c r="K587" t="s">
        <v>734</v>
      </c>
      <c r="L587" t="s">
        <v>83</v>
      </c>
      <c r="M587" t="s">
        <v>80</v>
      </c>
    </row>
    <row r="588" spans="10:13" x14ac:dyDescent="0.25">
      <c r="J588" t="s">
        <v>711</v>
      </c>
      <c r="K588" t="s">
        <v>711</v>
      </c>
      <c r="L588" t="s">
        <v>83</v>
      </c>
      <c r="M588" t="s">
        <v>80</v>
      </c>
    </row>
    <row r="589" spans="10:13" x14ac:dyDescent="0.25">
      <c r="J589" t="s">
        <v>735</v>
      </c>
      <c r="K589" t="s">
        <v>735</v>
      </c>
      <c r="L589" t="s">
        <v>83</v>
      </c>
      <c r="M589" t="s">
        <v>80</v>
      </c>
    </row>
    <row r="590" spans="10:13" x14ac:dyDescent="0.25">
      <c r="J590" t="s">
        <v>353</v>
      </c>
      <c r="K590" t="s">
        <v>353</v>
      </c>
      <c r="L590" t="s">
        <v>83</v>
      </c>
      <c r="M590" t="s">
        <v>80</v>
      </c>
    </row>
    <row r="591" spans="10:13" x14ac:dyDescent="0.25">
      <c r="J591" t="s">
        <v>736</v>
      </c>
      <c r="K591" t="s">
        <v>736</v>
      </c>
      <c r="L591" t="s">
        <v>83</v>
      </c>
      <c r="M591" t="s">
        <v>80</v>
      </c>
    </row>
    <row r="592" spans="10:13" x14ac:dyDescent="0.25">
      <c r="J592" t="s">
        <v>722</v>
      </c>
      <c r="K592" t="s">
        <v>722</v>
      </c>
      <c r="L592" t="s">
        <v>83</v>
      </c>
      <c r="M592" t="s">
        <v>80</v>
      </c>
    </row>
    <row r="593" spans="10:13" x14ac:dyDescent="0.25">
      <c r="J593" t="s">
        <v>737</v>
      </c>
      <c r="K593" t="s">
        <v>737</v>
      </c>
      <c r="L593" t="s">
        <v>83</v>
      </c>
      <c r="M593" t="s">
        <v>80</v>
      </c>
    </row>
    <row r="594" spans="10:13" x14ac:dyDescent="0.25">
      <c r="J594" t="s">
        <v>738</v>
      </c>
      <c r="K594" t="s">
        <v>732</v>
      </c>
      <c r="L594" t="s">
        <v>83</v>
      </c>
      <c r="M594" t="s">
        <v>80</v>
      </c>
    </row>
    <row r="595" spans="10:13" x14ac:dyDescent="0.25">
      <c r="J595" t="s">
        <v>739</v>
      </c>
      <c r="K595" t="s">
        <v>739</v>
      </c>
      <c r="L595" t="s">
        <v>83</v>
      </c>
      <c r="M595" t="s">
        <v>80</v>
      </c>
    </row>
    <row r="596" spans="10:13" x14ac:dyDescent="0.25">
      <c r="J596" t="s">
        <v>740</v>
      </c>
      <c r="K596" t="s">
        <v>740</v>
      </c>
      <c r="L596" t="s">
        <v>83</v>
      </c>
      <c r="M596" t="s">
        <v>80</v>
      </c>
    </row>
    <row r="597" spans="10:13" x14ac:dyDescent="0.25">
      <c r="J597" t="s">
        <v>741</v>
      </c>
      <c r="K597" t="s">
        <v>741</v>
      </c>
      <c r="L597" t="s">
        <v>83</v>
      </c>
      <c r="M597" t="s">
        <v>80</v>
      </c>
    </row>
    <row r="598" spans="10:13" x14ac:dyDescent="0.25">
      <c r="J598" t="s">
        <v>742</v>
      </c>
      <c r="K598" t="s">
        <v>725</v>
      </c>
      <c r="L598" t="s">
        <v>83</v>
      </c>
      <c r="M598" t="s">
        <v>80</v>
      </c>
    </row>
    <row r="599" spans="10:13" x14ac:dyDescent="0.25">
      <c r="J599" t="s">
        <v>743</v>
      </c>
      <c r="K599" t="s">
        <v>727</v>
      </c>
      <c r="L599" t="s">
        <v>83</v>
      </c>
      <c r="M599" t="s">
        <v>80</v>
      </c>
    </row>
    <row r="600" spans="10:13" x14ac:dyDescent="0.25">
      <c r="J600" t="s">
        <v>744</v>
      </c>
      <c r="K600" t="s">
        <v>353</v>
      </c>
      <c r="L600" t="s">
        <v>83</v>
      </c>
      <c r="M600" t="s">
        <v>80</v>
      </c>
    </row>
    <row r="601" spans="10:13" x14ac:dyDescent="0.25">
      <c r="J601" t="s">
        <v>745</v>
      </c>
      <c r="K601" t="s">
        <v>724</v>
      </c>
      <c r="L601" t="s">
        <v>83</v>
      </c>
      <c r="M601" t="s">
        <v>80</v>
      </c>
    </row>
    <row r="602" spans="10:13" x14ac:dyDescent="0.25">
      <c r="J602" t="s">
        <v>746</v>
      </c>
      <c r="K602" t="s">
        <v>724</v>
      </c>
      <c r="L602" t="s">
        <v>83</v>
      </c>
      <c r="M602" t="s">
        <v>80</v>
      </c>
    </row>
    <row r="603" spans="10:13" x14ac:dyDescent="0.25">
      <c r="J603" t="s">
        <v>747</v>
      </c>
      <c r="K603" t="s">
        <v>747</v>
      </c>
      <c r="L603" t="s">
        <v>83</v>
      </c>
      <c r="M603" t="s">
        <v>80</v>
      </c>
    </row>
    <row r="604" spans="10:13" x14ac:dyDescent="0.25">
      <c r="J604" t="s">
        <v>748</v>
      </c>
      <c r="K604" t="s">
        <v>714</v>
      </c>
      <c r="L604" t="s">
        <v>83</v>
      </c>
      <c r="M604" t="s">
        <v>80</v>
      </c>
    </row>
    <row r="605" spans="10:13" x14ac:dyDescent="0.25">
      <c r="J605" t="s">
        <v>749</v>
      </c>
      <c r="K605" t="s">
        <v>727</v>
      </c>
      <c r="L605" t="s">
        <v>83</v>
      </c>
      <c r="M605" t="s">
        <v>80</v>
      </c>
    </row>
    <row r="606" spans="10:13" x14ac:dyDescent="0.25">
      <c r="J606" t="s">
        <v>750</v>
      </c>
      <c r="K606" t="s">
        <v>722</v>
      </c>
      <c r="L606" t="s">
        <v>83</v>
      </c>
      <c r="M606" t="s">
        <v>80</v>
      </c>
    </row>
    <row r="607" spans="10:13" x14ac:dyDescent="0.25">
      <c r="J607" t="s">
        <v>751</v>
      </c>
      <c r="K607" t="s">
        <v>720</v>
      </c>
      <c r="L607" t="s">
        <v>83</v>
      </c>
      <c r="M607" t="s">
        <v>80</v>
      </c>
    </row>
    <row r="608" spans="10:13" x14ac:dyDescent="0.25">
      <c r="J608" t="s">
        <v>752</v>
      </c>
      <c r="K608" t="s">
        <v>718</v>
      </c>
      <c r="L608" t="s">
        <v>83</v>
      </c>
      <c r="M608" t="s">
        <v>80</v>
      </c>
    </row>
    <row r="609" spans="10:13" x14ac:dyDescent="0.25">
      <c r="J609" t="s">
        <v>753</v>
      </c>
      <c r="K609" t="s">
        <v>720</v>
      </c>
      <c r="L609" t="s">
        <v>83</v>
      </c>
      <c r="M609" t="s">
        <v>80</v>
      </c>
    </row>
    <row r="610" spans="10:13" x14ac:dyDescent="0.25">
      <c r="J610" t="s">
        <v>754</v>
      </c>
      <c r="K610" t="s">
        <v>754</v>
      </c>
      <c r="L610" t="s">
        <v>83</v>
      </c>
      <c r="M610" t="s">
        <v>80</v>
      </c>
    </row>
    <row r="611" spans="10:13" x14ac:dyDescent="0.25">
      <c r="J611" t="s">
        <v>755</v>
      </c>
      <c r="K611" t="s">
        <v>754</v>
      </c>
      <c r="L611" t="s">
        <v>83</v>
      </c>
      <c r="M611" t="s">
        <v>80</v>
      </c>
    </row>
    <row r="612" spans="10:13" x14ac:dyDescent="0.25">
      <c r="J612" t="s">
        <v>756</v>
      </c>
      <c r="K612" t="s">
        <v>714</v>
      </c>
      <c r="L612" t="s">
        <v>83</v>
      </c>
      <c r="M612" t="s">
        <v>80</v>
      </c>
    </row>
    <row r="613" spans="10:13" x14ac:dyDescent="0.25">
      <c r="J613" t="s">
        <v>757</v>
      </c>
      <c r="K613" t="s">
        <v>757</v>
      </c>
      <c r="L613" t="s">
        <v>83</v>
      </c>
      <c r="M613" t="s">
        <v>80</v>
      </c>
    </row>
    <row r="614" spans="10:13" x14ac:dyDescent="0.25">
      <c r="J614" t="s">
        <v>758</v>
      </c>
      <c r="K614" t="s">
        <v>758</v>
      </c>
      <c r="L614" t="s">
        <v>537</v>
      </c>
      <c r="M614" t="s">
        <v>235</v>
      </c>
    </row>
    <row r="615" spans="10:13" x14ac:dyDescent="0.25">
      <c r="J615" t="s">
        <v>759</v>
      </c>
      <c r="K615" t="s">
        <v>559</v>
      </c>
      <c r="L615" t="s">
        <v>537</v>
      </c>
      <c r="M615" t="s">
        <v>235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C1B03-CC98-4D37-9BD9-8FA89372D250}">
  <sheetPr codeName="Planilha1"/>
  <dimension ref="A1:AH7"/>
  <sheetViews>
    <sheetView showGridLines="0" workbookViewId="0">
      <selection activeCell="C21" sqref="C21"/>
    </sheetView>
  </sheetViews>
  <sheetFormatPr defaultColWidth="0" defaultRowHeight="15" x14ac:dyDescent="0.25"/>
  <cols>
    <col min="1" max="1" width="7.42578125" style="1" bestFit="1" customWidth="1"/>
    <col min="2" max="2" width="30.5703125" bestFit="1" customWidth="1"/>
    <col min="3" max="3" width="18.28515625" customWidth="1"/>
    <col min="4" max="4" width="23.7109375" customWidth="1"/>
    <col min="5" max="6" width="9.140625" hidden="1" customWidth="1"/>
    <col min="7" max="34" width="0" hidden="1" customWidth="1"/>
    <col min="35" max="16384" width="9.140625" hidden="1"/>
  </cols>
  <sheetData>
    <row r="1" spans="1:32" x14ac:dyDescent="0.25">
      <c r="A1" s="2" t="s">
        <v>3</v>
      </c>
      <c r="B1" s="2" t="s">
        <v>2</v>
      </c>
      <c r="C1" s="2" t="s">
        <v>68</v>
      </c>
    </row>
    <row r="2" spans="1:32" x14ac:dyDescent="0.25">
      <c r="A2" s="1">
        <f>ROW()</f>
        <v>2</v>
      </c>
      <c r="B2" s="1" t="s">
        <v>69</v>
      </c>
      <c r="C2" s="1" t="s">
        <v>69</v>
      </c>
      <c r="AF2" t="s">
        <v>0</v>
      </c>
    </row>
    <row r="3" spans="1:32" x14ac:dyDescent="0.25">
      <c r="A3" s="1">
        <f>ROW()</f>
        <v>3</v>
      </c>
      <c r="B3" s="1" t="s">
        <v>831</v>
      </c>
      <c r="C3" s="1" t="s">
        <v>821</v>
      </c>
    </row>
    <row r="4" spans="1:32" x14ac:dyDescent="0.25">
      <c r="A4" s="1">
        <f>ROW()</f>
        <v>4</v>
      </c>
      <c r="B4" s="1" t="s">
        <v>832</v>
      </c>
      <c r="C4" s="1" t="s">
        <v>820</v>
      </c>
    </row>
    <row r="5" spans="1:32" x14ac:dyDescent="0.25">
      <c r="A5" s="1">
        <f>ROW()</f>
        <v>5</v>
      </c>
      <c r="B5" s="1" t="s">
        <v>823</v>
      </c>
      <c r="C5" s="1" t="s">
        <v>824</v>
      </c>
    </row>
    <row r="6" spans="1:32" x14ac:dyDescent="0.25">
      <c r="A6" s="1">
        <f>ROW()</f>
        <v>6</v>
      </c>
      <c r="B6" s="1" t="s">
        <v>833</v>
      </c>
      <c r="C6" s="1" t="s">
        <v>819</v>
      </c>
    </row>
    <row r="7" spans="1:32" x14ac:dyDescent="0.25">
      <c r="A7" s="30">
        <f>ROW()</f>
        <v>7</v>
      </c>
      <c r="B7" s="1" t="s">
        <v>841</v>
      </c>
      <c r="C7" s="1" t="s">
        <v>818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7F15C06BD3DA540B9C77BD4B1042A02" ma:contentTypeVersion="4" ma:contentTypeDescription="Crie um novo documento." ma:contentTypeScope="" ma:versionID="f9cd6f78f1b2b32a8d924d2086506437">
  <xsd:schema xmlns:xsd="http://www.w3.org/2001/XMLSchema" xmlns:xs="http://www.w3.org/2001/XMLSchema" xmlns:p="http://schemas.microsoft.com/office/2006/metadata/properties" xmlns:ns2="6c4588a1-a195-46ac-98a3-d12999e7b976" targetNamespace="http://schemas.microsoft.com/office/2006/metadata/properties" ma:root="true" ma:fieldsID="3f74adc4882d5ea14ce68b32a0dff270" ns2:_="">
    <xsd:import namespace="6c4588a1-a195-46ac-98a3-d12999e7b97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4588a1-a195-46ac-98a3-d12999e7b9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00694A-E0CB-4C23-9034-9A8EFB93BD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AC905E-4D36-4ECD-9944-AFFF9F0BC9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4588a1-a195-46ac-98a3-d12999e7b9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246D1A-F224-4B8B-91A9-216E991E1A47}">
  <ds:schemaRefs>
    <ds:schemaRef ds:uri="http://www.w3.org/XML/1998/namespace"/>
    <ds:schemaRef ds:uri="http://purl.org/dc/dcmitype/"/>
    <ds:schemaRef ds:uri="http://schemas.microsoft.com/office/2006/documentManagement/types"/>
    <ds:schemaRef ds:uri="6c4588a1-a195-46ac-98a3-d12999e7b976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MENU</vt:lpstr>
      <vt:lpstr>GERADOR</vt:lpstr>
      <vt:lpstr>HISTORICO</vt:lpstr>
      <vt:lpstr>USUARIOS</vt:lpstr>
      <vt:lpstr>BD</vt:lpstr>
      <vt:lpstr>BD_MODELOS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alonp</dc:creator>
  <cp:keywords/>
  <dc:description/>
  <cp:lastModifiedBy>JANDERSSON FERREIRA DE PAULA</cp:lastModifiedBy>
  <cp:revision/>
  <cp:lastPrinted>2025-07-01T18:31:04Z</cp:lastPrinted>
  <dcterms:created xsi:type="dcterms:W3CDTF">2019-11-29T15:58:26Z</dcterms:created>
  <dcterms:modified xsi:type="dcterms:W3CDTF">2025-07-14T11:49:17Z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7ad33d-ed35-43c0-b526-22bc83c17deb_Enabled">
    <vt:lpwstr>true</vt:lpwstr>
  </property>
  <property fmtid="{D5CDD505-2E9C-101B-9397-08002B2CF9AE}" pid="3" name="MSIP_Label_797ad33d-ed35-43c0-b526-22bc83c17deb_SetDate">
    <vt:lpwstr>2023-06-17T00:07:03Z</vt:lpwstr>
  </property>
  <property fmtid="{D5CDD505-2E9C-101B-9397-08002B2CF9AE}" pid="4" name="MSIP_Label_797ad33d-ed35-43c0-b526-22bc83c17deb_Method">
    <vt:lpwstr>Standard</vt:lpwstr>
  </property>
  <property fmtid="{D5CDD505-2E9C-101B-9397-08002B2CF9AE}" pid="5" name="MSIP_Label_797ad33d-ed35-43c0-b526-22bc83c17deb_Name">
    <vt:lpwstr>797ad33d-ed35-43c0-b526-22bc83c17deb</vt:lpwstr>
  </property>
  <property fmtid="{D5CDD505-2E9C-101B-9397-08002B2CF9AE}" pid="6" name="MSIP_Label_797ad33d-ed35-43c0-b526-22bc83c17deb_SiteId">
    <vt:lpwstr>d539d4bf-5610-471a-afc2-1c76685cfefa</vt:lpwstr>
  </property>
  <property fmtid="{D5CDD505-2E9C-101B-9397-08002B2CF9AE}" pid="7" name="MSIP_Label_797ad33d-ed35-43c0-b526-22bc83c17deb_ActionId">
    <vt:lpwstr>80dbf89f-201e-4386-ad36-5e64c5cf2bee</vt:lpwstr>
  </property>
  <property fmtid="{D5CDD505-2E9C-101B-9397-08002B2CF9AE}" pid="8" name="MSIP_Label_797ad33d-ed35-43c0-b526-22bc83c17deb_ContentBits">
    <vt:lpwstr>1</vt:lpwstr>
  </property>
  <property fmtid="{D5CDD505-2E9C-101B-9397-08002B2CF9AE}" pid="9" name="MediaServiceImageTags">
    <vt:lpwstr/>
  </property>
  <property fmtid="{D5CDD505-2E9C-101B-9397-08002B2CF9AE}" pid="10" name="ContentTypeId">
    <vt:lpwstr>0x010100D7F15C06BD3DA540B9C77BD4B1042A02</vt:lpwstr>
  </property>
  <property fmtid="{D5CDD505-2E9C-101B-9397-08002B2CF9AE}" pid="11" name="xd_ProgID">
    <vt:lpwstr/>
  </property>
  <property fmtid="{D5CDD505-2E9C-101B-9397-08002B2CF9AE}" pid="12" name="ComplianceAssetId">
    <vt:lpwstr/>
  </property>
  <property fmtid="{D5CDD505-2E9C-101B-9397-08002B2CF9AE}" pid="13" name="TemplateUrl">
    <vt:lpwstr/>
  </property>
  <property fmtid="{D5CDD505-2E9C-101B-9397-08002B2CF9AE}" pid="14" name="_ExtendedDescription">
    <vt:lpwstr/>
  </property>
  <property fmtid="{D5CDD505-2E9C-101B-9397-08002B2CF9AE}" pid="15" name="TriggerFlowInfo">
    <vt:lpwstr/>
  </property>
  <property fmtid="{D5CDD505-2E9C-101B-9397-08002B2CF9AE}" pid="16" name="xd_Signature">
    <vt:bool>false</vt:bool>
  </property>
</Properties>
</file>